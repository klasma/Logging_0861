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45829</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45829</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45829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45829</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45829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45829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45829</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45829</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45829</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45829</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45829</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45829</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45829</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45829</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45829</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45829</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45829</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45829</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45829</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45829</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45829</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45829</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45829</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45829</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34721-2024</t>
        </is>
      </c>
      <c r="B26" s="1" t="n">
        <v>45526</v>
      </c>
      <c r="C26" s="1" t="n">
        <v>45829</v>
      </c>
      <c r="D26" t="inlineStr">
        <is>
          <t>KALMAR LÄN</t>
        </is>
      </c>
      <c r="E26" t="inlineStr">
        <is>
          <t>MÖNSTERÅS</t>
        </is>
      </c>
      <c r="F26" t="inlineStr">
        <is>
          <t>Kommuner</t>
        </is>
      </c>
      <c r="G26" t="n">
        <v>9.5</v>
      </c>
      <c r="H26" t="n">
        <v>1</v>
      </c>
      <c r="I26" t="n">
        <v>0</v>
      </c>
      <c r="J26" t="n">
        <v>3</v>
      </c>
      <c r="K26" t="n">
        <v>2</v>
      </c>
      <c r="L26" t="n">
        <v>0</v>
      </c>
      <c r="M26" t="n">
        <v>0</v>
      </c>
      <c r="N26" t="n">
        <v>0</v>
      </c>
      <c r="O26" t="n">
        <v>5</v>
      </c>
      <c r="P26" t="n">
        <v>2</v>
      </c>
      <c r="Q26" t="n">
        <v>5</v>
      </c>
      <c r="R26" s="2" t="inlineStr">
        <is>
          <t>Mörk spegelbock
Orangefläckig brunbagge
Ekgetingbock
Ekträdlöpare
Spillkråka</t>
        </is>
      </c>
      <c r="S26">
        <f>HYPERLINK("https://klasma.github.io/Logging_0861/artfynd/A 34721-2024 artfynd.xlsx", "A 34721-2024")</f>
        <v/>
      </c>
      <c r="T26">
        <f>HYPERLINK("https://klasma.github.io/Logging_0861/kartor/A 34721-2024 karta.png", "A 34721-2024")</f>
        <v/>
      </c>
      <c r="V26">
        <f>HYPERLINK("https://klasma.github.io/Logging_0861/klagomål/A 34721-2024 FSC-klagomål.docx", "A 34721-2024")</f>
        <v/>
      </c>
      <c r="W26">
        <f>HYPERLINK("https://klasma.github.io/Logging_0861/klagomålsmail/A 34721-2024 FSC-klagomål mail.docx", "A 34721-2024")</f>
        <v/>
      </c>
      <c r="X26">
        <f>HYPERLINK("https://klasma.github.io/Logging_0861/tillsyn/A 34721-2024 tillsynsbegäran.docx", "A 34721-2024")</f>
        <v/>
      </c>
      <c r="Y26">
        <f>HYPERLINK("https://klasma.github.io/Logging_0861/tillsynsmail/A 34721-2024 tillsynsbegäran mail.docx", "A 34721-2024")</f>
        <v/>
      </c>
      <c r="Z26">
        <f>HYPERLINK("https://klasma.github.io/Logging_0861/fåglar/A 34721-2024 prioriterade fågelarter.docx", "A 34721-2024")</f>
        <v/>
      </c>
    </row>
    <row r="27" ht="15" customHeight="1">
      <c r="A27" t="inlineStr">
        <is>
          <t>A 37143-2024</t>
        </is>
      </c>
      <c r="B27" s="1" t="n">
        <v>45539</v>
      </c>
      <c r="C27" s="1" t="n">
        <v>45829</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45829</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45829</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45829</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45829</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45829</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45829</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45829</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45829</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25348-2020</t>
        </is>
      </c>
      <c r="B36" s="1" t="n">
        <v>43980</v>
      </c>
      <c r="C36" s="1" t="n">
        <v>45829</v>
      </c>
      <c r="D36" t="inlineStr">
        <is>
          <t>KALMAR LÄN</t>
        </is>
      </c>
      <c r="E36" t="inlineStr">
        <is>
          <t>MÖNSTERÅS</t>
        </is>
      </c>
      <c r="G36" t="n">
        <v>1.3</v>
      </c>
      <c r="H36" t="n">
        <v>1</v>
      </c>
      <c r="I36" t="n">
        <v>2</v>
      </c>
      <c r="J36" t="n">
        <v>0</v>
      </c>
      <c r="K36" t="n">
        <v>1</v>
      </c>
      <c r="L36" t="n">
        <v>0</v>
      </c>
      <c r="M36" t="n">
        <v>0</v>
      </c>
      <c r="N36" t="n">
        <v>0</v>
      </c>
      <c r="O36" t="n">
        <v>1</v>
      </c>
      <c r="P36" t="n">
        <v>1</v>
      </c>
      <c r="Q36" t="n">
        <v>3</v>
      </c>
      <c r="R36" s="2" t="inlineStr">
        <is>
          <t>Knärot
Blåmossa
Grönpyrola</t>
        </is>
      </c>
      <c r="S36">
        <f>HYPERLINK("https://klasma.github.io/Logging_0861/artfynd/A 25348-2020 artfynd.xlsx", "A 25348-2020")</f>
        <v/>
      </c>
      <c r="T36">
        <f>HYPERLINK("https://klasma.github.io/Logging_0861/kartor/A 25348-2020 karta.png", "A 25348-2020")</f>
        <v/>
      </c>
      <c r="U36">
        <f>HYPERLINK("https://klasma.github.io/Logging_0861/knärot/A 25348-2020 karta knärot.png", "A 25348-2020")</f>
        <v/>
      </c>
      <c r="V36">
        <f>HYPERLINK("https://klasma.github.io/Logging_0861/klagomål/A 25348-2020 FSC-klagomål.docx", "A 25348-2020")</f>
        <v/>
      </c>
      <c r="W36">
        <f>HYPERLINK("https://klasma.github.io/Logging_0861/klagomålsmail/A 25348-2020 FSC-klagomål mail.docx", "A 25348-2020")</f>
        <v/>
      </c>
      <c r="X36">
        <f>HYPERLINK("https://klasma.github.io/Logging_0861/tillsyn/A 25348-2020 tillsynsbegäran.docx", "A 25348-2020")</f>
        <v/>
      </c>
      <c r="Y36">
        <f>HYPERLINK("https://klasma.github.io/Logging_0861/tillsynsmail/A 25348-2020 tillsynsbegäran mail.docx", "A 25348-2020")</f>
        <v/>
      </c>
    </row>
    <row r="37" ht="15" customHeight="1">
      <c r="A37" t="inlineStr">
        <is>
          <t>A 44284-2021</t>
        </is>
      </c>
      <c r="B37" s="1" t="n">
        <v>44434</v>
      </c>
      <c r="C37" s="1" t="n">
        <v>45829</v>
      </c>
      <c r="D37" t="inlineStr">
        <is>
          <t>KALMAR LÄN</t>
        </is>
      </c>
      <c r="E37" t="inlineStr">
        <is>
          <t>MÖNSTERÅS</t>
        </is>
      </c>
      <c r="G37" t="n">
        <v>18.4</v>
      </c>
      <c r="H37" t="n">
        <v>3</v>
      </c>
      <c r="I37" t="n">
        <v>0</v>
      </c>
      <c r="J37" t="n">
        <v>1</v>
      </c>
      <c r="K37" t="n">
        <v>0</v>
      </c>
      <c r="L37" t="n">
        <v>0</v>
      </c>
      <c r="M37" t="n">
        <v>0</v>
      </c>
      <c r="N37" t="n">
        <v>0</v>
      </c>
      <c r="O37" t="n">
        <v>1</v>
      </c>
      <c r="P37" t="n">
        <v>0</v>
      </c>
      <c r="Q37" t="n">
        <v>3</v>
      </c>
      <c r="R37" s="2" t="inlineStr">
        <is>
          <t>Gulsparv
Trana
Trädlärka</t>
        </is>
      </c>
      <c r="S37">
        <f>HYPERLINK("https://klasma.github.io/Logging_0861/artfynd/A 44284-2021 artfynd.xlsx", "A 44284-2021")</f>
        <v/>
      </c>
      <c r="T37">
        <f>HYPERLINK("https://klasma.github.io/Logging_0861/kartor/A 44284-2021 karta.png", "A 44284-2021")</f>
        <v/>
      </c>
      <c r="V37">
        <f>HYPERLINK("https://klasma.github.io/Logging_0861/klagomål/A 44284-2021 FSC-klagomål.docx", "A 44284-2021")</f>
        <v/>
      </c>
      <c r="W37">
        <f>HYPERLINK("https://klasma.github.io/Logging_0861/klagomålsmail/A 44284-2021 FSC-klagomål mail.docx", "A 44284-2021")</f>
        <v/>
      </c>
      <c r="X37">
        <f>HYPERLINK("https://klasma.github.io/Logging_0861/tillsyn/A 44284-2021 tillsynsbegäran.docx", "A 44284-2021")</f>
        <v/>
      </c>
      <c r="Y37">
        <f>HYPERLINK("https://klasma.github.io/Logging_0861/tillsynsmail/A 44284-2021 tillsynsbegäran mail.docx", "A 44284-2021")</f>
        <v/>
      </c>
      <c r="Z37">
        <f>HYPERLINK("https://klasma.github.io/Logging_0861/fåglar/A 44284-2021 prioriterade fågelarter.docx", "A 44284-2021")</f>
        <v/>
      </c>
    </row>
    <row r="38" ht="15" customHeight="1">
      <c r="A38" t="inlineStr">
        <is>
          <t>A 46995-2021</t>
        </is>
      </c>
      <c r="B38" s="1" t="n">
        <v>44446</v>
      </c>
      <c r="C38" s="1" t="n">
        <v>45829</v>
      </c>
      <c r="D38" t="inlineStr">
        <is>
          <t>KALMAR LÄN</t>
        </is>
      </c>
      <c r="E38" t="inlineStr">
        <is>
          <t>MÖNSTERÅS</t>
        </is>
      </c>
      <c r="G38" t="n">
        <v>2.6</v>
      </c>
      <c r="H38" t="n">
        <v>2</v>
      </c>
      <c r="I38" t="n">
        <v>1</v>
      </c>
      <c r="J38" t="n">
        <v>0</v>
      </c>
      <c r="K38" t="n">
        <v>1</v>
      </c>
      <c r="L38" t="n">
        <v>0</v>
      </c>
      <c r="M38" t="n">
        <v>0</v>
      </c>
      <c r="N38" t="n">
        <v>0</v>
      </c>
      <c r="O38" t="n">
        <v>1</v>
      </c>
      <c r="P38" t="n">
        <v>1</v>
      </c>
      <c r="Q38" t="n">
        <v>3</v>
      </c>
      <c r="R38" s="2" t="inlineStr">
        <is>
          <t>Knärot
Murgröna
Blåsippa</t>
        </is>
      </c>
      <c r="S38">
        <f>HYPERLINK("https://klasma.github.io/Logging_0861/artfynd/A 46995-2021 artfynd.xlsx", "A 46995-2021")</f>
        <v/>
      </c>
      <c r="T38">
        <f>HYPERLINK("https://klasma.github.io/Logging_0861/kartor/A 46995-2021 karta.png", "A 46995-2021")</f>
        <v/>
      </c>
      <c r="U38">
        <f>HYPERLINK("https://klasma.github.io/Logging_0861/knärot/A 46995-2021 karta knärot.png", "A 46995-2021")</f>
        <v/>
      </c>
      <c r="V38">
        <f>HYPERLINK("https://klasma.github.io/Logging_0861/klagomål/A 46995-2021 FSC-klagomål.docx", "A 46995-2021")</f>
        <v/>
      </c>
      <c r="W38">
        <f>HYPERLINK("https://klasma.github.io/Logging_0861/klagomålsmail/A 46995-2021 FSC-klagomål mail.docx", "A 46995-2021")</f>
        <v/>
      </c>
      <c r="X38">
        <f>HYPERLINK("https://klasma.github.io/Logging_0861/tillsyn/A 46995-2021 tillsynsbegäran.docx", "A 46995-2021")</f>
        <v/>
      </c>
      <c r="Y38">
        <f>HYPERLINK("https://klasma.github.io/Logging_0861/tillsynsmail/A 46995-2021 tillsynsbegäran mail.docx", "A 46995-2021")</f>
        <v/>
      </c>
    </row>
    <row r="39" ht="15" customHeight="1">
      <c r="A39" t="inlineStr">
        <is>
          <t>A 49122-2021</t>
        </is>
      </c>
      <c r="B39" s="1" t="n">
        <v>44453</v>
      </c>
      <c r="C39" s="1" t="n">
        <v>45829</v>
      </c>
      <c r="D39" t="inlineStr">
        <is>
          <t>KALMAR LÄN</t>
        </is>
      </c>
      <c r="E39" t="inlineStr">
        <is>
          <t>MÖNSTERÅS</t>
        </is>
      </c>
      <c r="G39" t="n">
        <v>1.6</v>
      </c>
      <c r="H39" t="n">
        <v>1</v>
      </c>
      <c r="I39" t="n">
        <v>0</v>
      </c>
      <c r="J39" t="n">
        <v>2</v>
      </c>
      <c r="K39" t="n">
        <v>0</v>
      </c>
      <c r="L39" t="n">
        <v>1</v>
      </c>
      <c r="M39" t="n">
        <v>0</v>
      </c>
      <c r="N39" t="n">
        <v>0</v>
      </c>
      <c r="O39" t="n">
        <v>3</v>
      </c>
      <c r="P39" t="n">
        <v>1</v>
      </c>
      <c r="Q39" t="n">
        <v>3</v>
      </c>
      <c r="R39" s="2" t="inlineStr">
        <is>
          <t>Brandnäva
Spillkråka
Svedjenäva</t>
        </is>
      </c>
      <c r="S39">
        <f>HYPERLINK("https://klasma.github.io/Logging_0861/artfynd/A 49122-2021 artfynd.xlsx", "A 49122-2021")</f>
        <v/>
      </c>
      <c r="T39">
        <f>HYPERLINK("https://klasma.github.io/Logging_0861/kartor/A 49122-2021 karta.png", "A 49122-2021")</f>
        <v/>
      </c>
      <c r="V39">
        <f>HYPERLINK("https://klasma.github.io/Logging_0861/klagomål/A 49122-2021 FSC-klagomål.docx", "A 49122-2021")</f>
        <v/>
      </c>
      <c r="W39">
        <f>HYPERLINK("https://klasma.github.io/Logging_0861/klagomålsmail/A 49122-2021 FSC-klagomål mail.docx", "A 49122-2021")</f>
        <v/>
      </c>
      <c r="X39">
        <f>HYPERLINK("https://klasma.github.io/Logging_0861/tillsyn/A 49122-2021 tillsynsbegäran.docx", "A 49122-2021")</f>
        <v/>
      </c>
      <c r="Y39">
        <f>HYPERLINK("https://klasma.github.io/Logging_0861/tillsynsmail/A 49122-2021 tillsynsbegäran mail.docx", "A 49122-2021")</f>
        <v/>
      </c>
      <c r="Z39">
        <f>HYPERLINK("https://klasma.github.io/Logging_0861/fåglar/A 49122-2021 prioriterade fågelarter.docx", "A 49122-2021")</f>
        <v/>
      </c>
    </row>
    <row r="40" ht="15" customHeight="1">
      <c r="A40" t="inlineStr">
        <is>
          <t>A 34207-2022</t>
        </is>
      </c>
      <c r="B40" s="1" t="n">
        <v>44791</v>
      </c>
      <c r="C40" s="1" t="n">
        <v>45829</v>
      </c>
      <c r="D40" t="inlineStr">
        <is>
          <t>KALMAR LÄN</t>
        </is>
      </c>
      <c r="E40" t="inlineStr">
        <is>
          <t>MÖNSTERÅS</t>
        </is>
      </c>
      <c r="G40" t="n">
        <v>3.5</v>
      </c>
      <c r="H40" t="n">
        <v>3</v>
      </c>
      <c r="I40" t="n">
        <v>0</v>
      </c>
      <c r="J40" t="n">
        <v>1</v>
      </c>
      <c r="K40" t="n">
        <v>0</v>
      </c>
      <c r="L40" t="n">
        <v>0</v>
      </c>
      <c r="M40" t="n">
        <v>0</v>
      </c>
      <c r="N40" t="n">
        <v>0</v>
      </c>
      <c r="O40" t="n">
        <v>1</v>
      </c>
      <c r="P40" t="n">
        <v>0</v>
      </c>
      <c r="Q40" t="n">
        <v>3</v>
      </c>
      <c r="R40" s="2" t="inlineStr">
        <is>
          <t>Sävsparv
Röd glada
Trädlärka</t>
        </is>
      </c>
      <c r="S40">
        <f>HYPERLINK("https://klasma.github.io/Logging_0861/artfynd/A 34207-2022 artfynd.xlsx", "A 34207-2022")</f>
        <v/>
      </c>
      <c r="T40">
        <f>HYPERLINK("https://klasma.github.io/Logging_0861/kartor/A 34207-2022 karta.png", "A 34207-2022")</f>
        <v/>
      </c>
      <c r="V40">
        <f>HYPERLINK("https://klasma.github.io/Logging_0861/klagomål/A 34207-2022 FSC-klagomål.docx", "A 34207-2022")</f>
        <v/>
      </c>
      <c r="W40">
        <f>HYPERLINK("https://klasma.github.io/Logging_0861/klagomålsmail/A 34207-2022 FSC-klagomål mail.docx", "A 34207-2022")</f>
        <v/>
      </c>
      <c r="X40">
        <f>HYPERLINK("https://klasma.github.io/Logging_0861/tillsyn/A 34207-2022 tillsynsbegäran.docx", "A 34207-2022")</f>
        <v/>
      </c>
      <c r="Y40">
        <f>HYPERLINK("https://klasma.github.io/Logging_0861/tillsynsmail/A 34207-2022 tillsynsbegäran mail.docx", "A 34207-2022")</f>
        <v/>
      </c>
      <c r="Z40">
        <f>HYPERLINK("https://klasma.github.io/Logging_0861/fåglar/A 34207-2022 prioriterade fågelarter.docx", "A 34207-2022")</f>
        <v/>
      </c>
    </row>
    <row r="41" ht="15" customHeight="1">
      <c r="A41" t="inlineStr">
        <is>
          <t>A 32298-2023</t>
        </is>
      </c>
      <c r="B41" s="1" t="n">
        <v>45120</v>
      </c>
      <c r="C41" s="1" t="n">
        <v>45829</v>
      </c>
      <c r="D41" t="inlineStr">
        <is>
          <t>KALMAR LÄN</t>
        </is>
      </c>
      <c r="E41" t="inlineStr">
        <is>
          <t>MÖNSTERÅS</t>
        </is>
      </c>
      <c r="G41" t="n">
        <v>5</v>
      </c>
      <c r="H41" t="n">
        <v>2</v>
      </c>
      <c r="I41" t="n">
        <v>1</v>
      </c>
      <c r="J41" t="n">
        <v>1</v>
      </c>
      <c r="K41" t="n">
        <v>1</v>
      </c>
      <c r="L41" t="n">
        <v>0</v>
      </c>
      <c r="M41" t="n">
        <v>0</v>
      </c>
      <c r="N41" t="n">
        <v>0</v>
      </c>
      <c r="O41" t="n">
        <v>2</v>
      </c>
      <c r="P41" t="n">
        <v>1</v>
      </c>
      <c r="Q41" t="n">
        <v>3</v>
      </c>
      <c r="R41" s="2" t="inlineStr">
        <is>
          <t>Knärot
Spillkråka
Grönpyrola</t>
        </is>
      </c>
      <c r="S41">
        <f>HYPERLINK("https://klasma.github.io/Logging_0861/artfynd/A 32298-2023 artfynd.xlsx", "A 32298-2023")</f>
        <v/>
      </c>
      <c r="T41">
        <f>HYPERLINK("https://klasma.github.io/Logging_0861/kartor/A 32298-2023 karta.png", "A 32298-2023")</f>
        <v/>
      </c>
      <c r="U41">
        <f>HYPERLINK("https://klasma.github.io/Logging_0861/knärot/A 32298-2023 karta knärot.png", "A 32298-2023")</f>
        <v/>
      </c>
      <c r="V41">
        <f>HYPERLINK("https://klasma.github.io/Logging_0861/klagomål/A 32298-2023 FSC-klagomål.docx", "A 32298-2023")</f>
        <v/>
      </c>
      <c r="W41">
        <f>HYPERLINK("https://klasma.github.io/Logging_0861/klagomålsmail/A 32298-2023 FSC-klagomål mail.docx", "A 32298-2023")</f>
        <v/>
      </c>
      <c r="X41">
        <f>HYPERLINK("https://klasma.github.io/Logging_0861/tillsyn/A 32298-2023 tillsynsbegäran.docx", "A 32298-2023")</f>
        <v/>
      </c>
      <c r="Y41">
        <f>HYPERLINK("https://klasma.github.io/Logging_0861/tillsynsmail/A 32298-2023 tillsynsbegäran mail.docx", "A 32298-2023")</f>
        <v/>
      </c>
      <c r="Z41">
        <f>HYPERLINK("https://klasma.github.io/Logging_0861/fåglar/A 32298-2023 prioriterade fågelarter.docx", "A 32298-2023")</f>
        <v/>
      </c>
    </row>
    <row r="42" ht="15" customHeight="1">
      <c r="A42" t="inlineStr">
        <is>
          <t>A 46181-2023</t>
        </is>
      </c>
      <c r="B42" s="1" t="n">
        <v>45196</v>
      </c>
      <c r="C42" s="1" t="n">
        <v>45829</v>
      </c>
      <c r="D42" t="inlineStr">
        <is>
          <t>KALMAR LÄN</t>
        </is>
      </c>
      <c r="E42" t="inlineStr">
        <is>
          <t>MÖNSTERÅS</t>
        </is>
      </c>
      <c r="G42" t="n">
        <v>2.5</v>
      </c>
      <c r="H42" t="n">
        <v>1</v>
      </c>
      <c r="I42" t="n">
        <v>2</v>
      </c>
      <c r="J42" t="n">
        <v>0</v>
      </c>
      <c r="K42" t="n">
        <v>1</v>
      </c>
      <c r="L42" t="n">
        <v>0</v>
      </c>
      <c r="M42" t="n">
        <v>0</v>
      </c>
      <c r="N42" t="n">
        <v>0</v>
      </c>
      <c r="O42" t="n">
        <v>1</v>
      </c>
      <c r="P42" t="n">
        <v>1</v>
      </c>
      <c r="Q42" t="n">
        <v>3</v>
      </c>
      <c r="R42" s="2" t="inlineStr">
        <is>
          <t>Knärot
Blåmossa
Grönpyrola</t>
        </is>
      </c>
      <c r="S42">
        <f>HYPERLINK("https://klasma.github.io/Logging_0861/artfynd/A 46181-2023 artfynd.xlsx", "A 46181-2023")</f>
        <v/>
      </c>
      <c r="T42">
        <f>HYPERLINK("https://klasma.github.io/Logging_0861/kartor/A 46181-2023 karta.png", "A 46181-2023")</f>
        <v/>
      </c>
      <c r="U42">
        <f>HYPERLINK("https://klasma.github.io/Logging_0861/knärot/A 46181-2023 karta knärot.png", "A 46181-2023")</f>
        <v/>
      </c>
      <c r="V42">
        <f>HYPERLINK("https://klasma.github.io/Logging_0861/klagomål/A 46181-2023 FSC-klagomål.docx", "A 46181-2023")</f>
        <v/>
      </c>
      <c r="W42">
        <f>HYPERLINK("https://klasma.github.io/Logging_0861/klagomålsmail/A 46181-2023 FSC-klagomål mail.docx", "A 46181-2023")</f>
        <v/>
      </c>
      <c r="X42">
        <f>HYPERLINK("https://klasma.github.io/Logging_0861/tillsyn/A 46181-2023 tillsynsbegäran.docx", "A 46181-2023")</f>
        <v/>
      </c>
      <c r="Y42">
        <f>HYPERLINK("https://klasma.github.io/Logging_0861/tillsynsmail/A 46181-2023 tillsynsbegäran mail.docx", "A 46181-2023")</f>
        <v/>
      </c>
    </row>
    <row r="43" ht="15" customHeight="1">
      <c r="A43" t="inlineStr">
        <is>
          <t>A 2719-2024</t>
        </is>
      </c>
      <c r="B43" s="1" t="n">
        <v>45314</v>
      </c>
      <c r="C43" s="1" t="n">
        <v>45829</v>
      </c>
      <c r="D43" t="inlineStr">
        <is>
          <t>KALMAR LÄN</t>
        </is>
      </c>
      <c r="E43" t="inlineStr">
        <is>
          <t>MÖNSTERÅS</t>
        </is>
      </c>
      <c r="G43" t="n">
        <v>3.4</v>
      </c>
      <c r="H43" t="n">
        <v>3</v>
      </c>
      <c r="I43" t="n">
        <v>0</v>
      </c>
      <c r="J43" t="n">
        <v>1</v>
      </c>
      <c r="K43" t="n">
        <v>0</v>
      </c>
      <c r="L43" t="n">
        <v>0</v>
      </c>
      <c r="M43" t="n">
        <v>0</v>
      </c>
      <c r="N43" t="n">
        <v>0</v>
      </c>
      <c r="O43" t="n">
        <v>1</v>
      </c>
      <c r="P43" t="n">
        <v>0</v>
      </c>
      <c r="Q43" t="n">
        <v>3</v>
      </c>
      <c r="R43" s="2" t="inlineStr">
        <is>
          <t>Nordfladdermus
Dvärgpipistrell
Större brunfladdermus</t>
        </is>
      </c>
      <c r="S43">
        <f>HYPERLINK("https://klasma.github.io/Logging_0861/artfynd/A 2719-2024 artfynd.xlsx", "A 2719-2024")</f>
        <v/>
      </c>
      <c r="T43">
        <f>HYPERLINK("https://klasma.github.io/Logging_0861/kartor/A 2719-2024 karta.png", "A 2719-2024")</f>
        <v/>
      </c>
      <c r="V43">
        <f>HYPERLINK("https://klasma.github.io/Logging_0861/klagomål/A 2719-2024 FSC-klagomål.docx", "A 2719-2024")</f>
        <v/>
      </c>
      <c r="W43">
        <f>HYPERLINK("https://klasma.github.io/Logging_0861/klagomålsmail/A 2719-2024 FSC-klagomål mail.docx", "A 2719-2024")</f>
        <v/>
      </c>
      <c r="X43">
        <f>HYPERLINK("https://klasma.github.io/Logging_0861/tillsyn/A 2719-2024 tillsynsbegäran.docx", "A 2719-2024")</f>
        <v/>
      </c>
      <c r="Y43">
        <f>HYPERLINK("https://klasma.github.io/Logging_0861/tillsynsmail/A 2719-2024 tillsynsbegäran mail.docx", "A 2719-2024")</f>
        <v/>
      </c>
    </row>
    <row r="44" ht="15" customHeight="1">
      <c r="A44" t="inlineStr">
        <is>
          <t>A 3676-2024</t>
        </is>
      </c>
      <c r="B44" s="1" t="n">
        <v>45321</v>
      </c>
      <c r="C44" s="1" t="n">
        <v>45829</v>
      </c>
      <c r="D44" t="inlineStr">
        <is>
          <t>KALMAR LÄN</t>
        </is>
      </c>
      <c r="E44" t="inlineStr">
        <is>
          <t>MÖNSTERÅS</t>
        </is>
      </c>
      <c r="G44" t="n">
        <v>6.8</v>
      </c>
      <c r="H44" t="n">
        <v>3</v>
      </c>
      <c r="I44" t="n">
        <v>0</v>
      </c>
      <c r="J44" t="n">
        <v>0</v>
      </c>
      <c r="K44" t="n">
        <v>1</v>
      </c>
      <c r="L44" t="n">
        <v>0</v>
      </c>
      <c r="M44" t="n">
        <v>0</v>
      </c>
      <c r="N44" t="n">
        <v>0</v>
      </c>
      <c r="O44" t="n">
        <v>1</v>
      </c>
      <c r="P44" t="n">
        <v>1</v>
      </c>
      <c r="Q44" t="n">
        <v>3</v>
      </c>
      <c r="R44" s="2" t="inlineStr">
        <is>
          <t>Knärot
Grönsiska
Kungsfågel</t>
        </is>
      </c>
      <c r="S44">
        <f>HYPERLINK("https://klasma.github.io/Logging_0861/artfynd/A 3676-2024 artfynd.xlsx", "A 3676-2024")</f>
        <v/>
      </c>
      <c r="T44">
        <f>HYPERLINK("https://klasma.github.io/Logging_0861/kartor/A 3676-2024 karta.png", "A 3676-2024")</f>
        <v/>
      </c>
      <c r="U44">
        <f>HYPERLINK("https://klasma.github.io/Logging_0861/knärot/A 3676-2024 karta knärot.png", "A 3676-2024")</f>
        <v/>
      </c>
      <c r="V44">
        <f>HYPERLINK("https://klasma.github.io/Logging_0861/klagomål/A 3676-2024 FSC-klagomål.docx", "A 3676-2024")</f>
        <v/>
      </c>
      <c r="W44">
        <f>HYPERLINK("https://klasma.github.io/Logging_0861/klagomålsmail/A 3676-2024 FSC-klagomål mail.docx", "A 3676-2024")</f>
        <v/>
      </c>
      <c r="X44">
        <f>HYPERLINK("https://klasma.github.io/Logging_0861/tillsyn/A 3676-2024 tillsynsbegäran.docx", "A 3676-2024")</f>
        <v/>
      </c>
      <c r="Y44">
        <f>HYPERLINK("https://klasma.github.io/Logging_0861/tillsynsmail/A 3676-2024 tillsynsbegäran mail.docx", "A 3676-2024")</f>
        <v/>
      </c>
      <c r="Z44">
        <f>HYPERLINK("https://klasma.github.io/Logging_0861/fåglar/A 3676-2024 prioriterade fågelarter.docx", "A 3676-2024")</f>
        <v/>
      </c>
    </row>
    <row r="45" ht="15" customHeight="1">
      <c r="A45" t="inlineStr">
        <is>
          <t>A 24108-2024</t>
        </is>
      </c>
      <c r="B45" s="1" t="n">
        <v>45456</v>
      </c>
      <c r="C45" s="1" t="n">
        <v>45829</v>
      </c>
      <c r="D45" t="inlineStr">
        <is>
          <t>KALMAR LÄN</t>
        </is>
      </c>
      <c r="E45" t="inlineStr">
        <is>
          <t>MÖNSTERÅS</t>
        </is>
      </c>
      <c r="G45" t="n">
        <v>3.5</v>
      </c>
      <c r="H45" t="n">
        <v>1</v>
      </c>
      <c r="I45" t="n">
        <v>1</v>
      </c>
      <c r="J45" t="n">
        <v>1</v>
      </c>
      <c r="K45" t="n">
        <v>1</v>
      </c>
      <c r="L45" t="n">
        <v>0</v>
      </c>
      <c r="M45" t="n">
        <v>0</v>
      </c>
      <c r="N45" t="n">
        <v>0</v>
      </c>
      <c r="O45" t="n">
        <v>2</v>
      </c>
      <c r="P45" t="n">
        <v>1</v>
      </c>
      <c r="Q45" t="n">
        <v>3</v>
      </c>
      <c r="R45" s="2" t="inlineStr">
        <is>
          <t>Läderbagge
Ekticka
Gulnål</t>
        </is>
      </c>
      <c r="S45">
        <f>HYPERLINK("https://klasma.github.io/Logging_0861/artfynd/A 24108-2024 artfynd.xlsx", "A 24108-2024")</f>
        <v/>
      </c>
      <c r="T45">
        <f>HYPERLINK("https://klasma.github.io/Logging_0861/kartor/A 24108-2024 karta.png", "A 24108-2024")</f>
        <v/>
      </c>
      <c r="V45">
        <f>HYPERLINK("https://klasma.github.io/Logging_0861/klagomål/A 24108-2024 FSC-klagomål.docx", "A 24108-2024")</f>
        <v/>
      </c>
      <c r="W45">
        <f>HYPERLINK("https://klasma.github.io/Logging_0861/klagomålsmail/A 24108-2024 FSC-klagomål mail.docx", "A 24108-2024")</f>
        <v/>
      </c>
      <c r="X45">
        <f>HYPERLINK("https://klasma.github.io/Logging_0861/tillsyn/A 24108-2024 tillsynsbegäran.docx", "A 24108-2024")</f>
        <v/>
      </c>
      <c r="Y45">
        <f>HYPERLINK("https://klasma.github.io/Logging_0861/tillsynsmail/A 24108-2024 tillsynsbegäran mail.docx", "A 24108-2024")</f>
        <v/>
      </c>
    </row>
    <row r="46" ht="15" customHeight="1">
      <c r="A46" t="inlineStr">
        <is>
          <t>A 36129-2024</t>
        </is>
      </c>
      <c r="B46" s="1" t="n">
        <v>45534</v>
      </c>
      <c r="C46" s="1" t="n">
        <v>45829</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45829</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45829</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45829</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45829</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45829</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45829</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45829</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45829</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45829</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45829</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45829</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45829</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45829</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45829</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45829</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45829</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45829</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45829</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45829</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45829</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45829</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45829</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45829</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45829</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45829</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45829</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45829</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45829</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45829</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45829</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45829</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45829</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45829</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45829</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45829</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45829</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45829</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45829</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45829</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45829</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45829</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45829</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45829</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45829</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45829</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45829</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45829</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45829</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45829</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45829</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45829</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45829</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45829</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45829</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45829</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45829</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45829</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45829</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45829</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45829</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45829</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45829</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45829</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45829</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45829</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45829</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45829</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45829</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45829</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45829</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45829</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45829</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45829</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45829</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45829</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45829</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45829</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45829</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45829</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45829</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45829</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45829</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45829</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45829</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45829</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45829</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45829</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45829</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45829</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45829</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45829</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45829</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45829</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45829</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45829</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45829</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45829</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45829</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45829</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45829</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45829</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45829</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45829</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45829</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45829</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45829</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45829</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45829</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45829</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45829</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45829</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45829</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45829</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45829</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45829</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45829</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45829</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45829</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45829</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45829</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45829</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45829</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45829</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45829</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45829</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45829</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45829</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45829</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45829</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45829</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45829</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45829</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45829</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45829</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45829</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45829</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45829</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45829</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45829</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45829</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45829</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45829</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45829</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45829</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45829</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45829</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45829</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45829</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45829</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45829</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45829</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45829</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45829</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45829</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45829</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45829</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45829</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45829</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45829</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45829</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45829</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45829</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45829</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45829</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45829</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45829</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45829</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45829</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45829</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45829</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45829</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45829</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45829</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45829</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45829</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45829</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45829</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45829</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45829</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45829</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45829</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45829</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45829</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45829</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45829</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45829</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45829</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45829</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45829</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45829</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45829</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45829</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45829</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45829</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45829</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45829</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45829</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45829</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45829</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45829</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45829</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45829</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45829</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45829</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45829</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45829</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45829</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45829</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45829</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45829</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45829</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45829</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45829</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45829</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45829</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45829</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45829</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45829</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45829</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45829</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45829</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45829</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45829</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45829</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45829</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45829</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45829</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45829</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45829</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45829</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45829</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45829</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45829</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45829</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45829</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45829</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45829</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45829</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45829</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45829</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45829</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45829</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45829</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45829</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45829</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45829</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45829</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45829</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45829</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45829</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45829</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45829</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45829</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45829</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45829</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45829</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45829</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45829</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45829</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45829</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45829</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45829</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45829</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45829</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45829</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45829</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45829</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45829</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45829</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45829</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45829</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45829</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45829</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45829</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45829</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45829</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45829</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45829</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45829</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45829</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45829</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45829</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45829</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45829</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45829</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45829</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45829</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45829</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45829</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45829</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45829</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45829</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45829</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45829</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45829</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45829</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45829</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45829</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45829</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45829</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45829</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45829</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45829</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45829</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45829</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45829</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45829</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45829</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45829</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45829</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45829</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45829</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45829</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45829</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45829</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45829</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45829</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45829</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45829</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45829</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45829</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45829</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45829</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45829</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45829</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45829</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45829</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45829</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45829</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45829</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45829</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45829</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45829</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45829</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45829</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45829</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45829</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45829</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45829</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45829</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45829</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45829</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45829</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45829</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45829</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45829</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45829</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45829</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45829</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45829</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45829</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45829</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45829</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45829</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45829</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45829</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45829</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45829</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45829</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45829</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45829</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45829</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45829</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45829</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45829</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45829</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45829</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45829</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45829</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45829</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45829</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45829</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45829</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45829</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45829</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45829</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45829</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45829</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45829</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45829</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45829</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45829</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45829</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45829</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45829</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45829</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45829</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45829</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45829</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45829</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45829</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45829</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45829</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45829</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45829</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45829</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45829</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45829</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45829</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45829</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45829</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45829</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45829</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45829</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45829</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45829</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45829</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45829</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45829</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45829</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45829</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45829</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45829</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45829</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45829</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45829</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45829</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45829</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45829</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45829</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45829</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45829</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45829</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45829</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45829</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45829</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45829</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45829</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45829</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45829</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45829</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45829</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45829</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45829</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45829</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45829</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45829</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45829</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45829</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45829</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45829</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45829</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45829</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45829</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45829</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45829</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45829</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45829</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45829</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45829</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45829</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45829</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45829</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45829</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45829</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45829</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45829</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45829</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45829</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45829</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45829</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45829</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45829</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45829</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45829</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45829</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45829</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45829</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45829</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45829</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45829</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45829</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45829</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45829</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45829</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45829</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45829</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45829</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45829</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45829</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45829</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45829</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45829</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45829</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45829</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45829</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45829</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45829</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45829</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45829</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45829</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45829</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45829</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45829</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45829</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45829</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45829</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45829</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45829</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45829</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45829</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45829</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45829</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45829</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45829</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45829</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45829</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45829</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45829</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45829</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45829</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45829</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45829</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45829</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45829</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45829</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45829</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45829</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45829</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45829</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45829</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45829</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45829</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45829</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45829</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45829</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45829</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45829</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45829</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45829</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45829</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45829</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45829</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45829</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45829</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45829</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45829</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45829</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45829</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45829</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45829</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45829</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45829</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45829</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45829</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45829</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45829</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45829</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45829</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45829</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45829</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45829</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45829</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45829</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45829</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45829</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45829</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45829</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45829</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45829</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45829</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45829</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45829</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45829</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45829</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45829</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45829</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45829</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45829</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45829</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45829</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45829</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45829</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45829</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45829</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45829</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45829</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45829</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45829</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45829</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45829</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45829</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45829</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45829</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45829</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45829</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45829</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45829</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45829</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45829</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45829</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45829</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45829</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45829</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45829</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45829</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45829</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45829</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45829</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45829</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45829</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45829</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45829</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45829</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45829</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45829</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45829</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45829</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45829</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45829</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45829</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45829</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45829</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45829</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45829</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45829</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45829</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45829</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45829</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45829</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45829</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45829</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45829</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45829</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45829</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45829</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45829</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45829</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45829</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45829</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45829</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45829</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45829</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45829</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45829</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45829</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45829</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45829</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45829</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45829</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45829</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45829</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45829</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45829</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45829</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45829</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45829</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45829</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45829</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45829</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45829</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45829</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45829</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45829</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45829</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45829</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45829</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45829</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45829</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45829</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45829</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45829</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45829</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45829</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45829</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45829</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45829</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45829</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45829</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45829</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45829</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45829</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45829</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45829</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45829</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45829</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45829</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45829</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45829</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45829</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45829</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45829</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45829</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45829</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45829</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45829</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45829</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45829</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45829</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45829</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45829</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45829</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45829</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45829</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45829</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45829</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45829</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45829</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45829</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45829</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45829</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45829</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45829</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45829</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45829</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45829</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45829</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45829</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45829</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45829</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45829</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45829</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45829</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45829</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45829</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45829</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45829</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45829</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45829</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45829</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45829</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45829</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45829</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45829</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45829</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45829</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45829</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45829</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45829</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45829</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45829</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45829</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45829</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45829</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45829</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45829</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45829</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45829</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45829</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45829</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45829</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45829</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45829</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45829</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45829</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45829</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45829</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45829</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45829</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45829</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45829</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45829</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45829</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45829</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45829</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45829</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45829</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45829</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45829</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45829</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45829</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45829</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45829</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45829</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45829</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45829</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45829</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45829</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45829</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45829</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45829</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45829</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45829</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45829</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45829</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45829</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45829</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45829</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45829</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45829</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45829</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45829</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45829</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45829</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45829</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45829</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45829</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45829</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45829</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45829</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45829</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45829</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45829</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45829</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45829</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45829</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45829</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45829</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45829</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45829</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45829</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45829</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45829</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45829</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45829</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45829</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45829</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45829</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45829</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45829</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45829</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45829</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45829</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45829</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45829</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45829</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26349-2025</t>
        </is>
      </c>
      <c r="B863" s="1" t="n">
        <v>45805</v>
      </c>
      <c r="C863" s="1" t="n">
        <v>45829</v>
      </c>
      <c r="D863" t="inlineStr">
        <is>
          <t>KALMAR LÄN</t>
        </is>
      </c>
      <c r="E863" t="inlineStr">
        <is>
          <t>MÖNSTERÅS</t>
        </is>
      </c>
      <c r="G863" t="n">
        <v>2</v>
      </c>
      <c r="H863" t="n">
        <v>0</v>
      </c>
      <c r="I863" t="n">
        <v>0</v>
      </c>
      <c r="J863" t="n">
        <v>0</v>
      </c>
      <c r="K863" t="n">
        <v>0</v>
      </c>
      <c r="L863" t="n">
        <v>0</v>
      </c>
      <c r="M863" t="n">
        <v>0</v>
      </c>
      <c r="N863" t="n">
        <v>0</v>
      </c>
      <c r="O863" t="n">
        <v>0</v>
      </c>
      <c r="P863" t="n">
        <v>0</v>
      </c>
      <c r="Q863" t="n">
        <v>0</v>
      </c>
      <c r="R863" s="2" t="inlineStr"/>
    </row>
    <row r="864" ht="15" customHeight="1">
      <c r="A864" t="inlineStr">
        <is>
          <t>A 26145-2025</t>
        </is>
      </c>
      <c r="B864" s="1" t="n">
        <v>45805</v>
      </c>
      <c r="C864" s="1" t="n">
        <v>45829</v>
      </c>
      <c r="D864" t="inlineStr">
        <is>
          <t>KALMAR LÄN</t>
        </is>
      </c>
      <c r="E864" t="inlineStr">
        <is>
          <t>MÖNSTERÅS</t>
        </is>
      </c>
      <c r="G864" t="n">
        <v>1.4</v>
      </c>
      <c r="H864" t="n">
        <v>0</v>
      </c>
      <c r="I864" t="n">
        <v>0</v>
      </c>
      <c r="J864" t="n">
        <v>0</v>
      </c>
      <c r="K864" t="n">
        <v>0</v>
      </c>
      <c r="L864" t="n">
        <v>0</v>
      </c>
      <c r="M864" t="n">
        <v>0</v>
      </c>
      <c r="N864" t="n">
        <v>0</v>
      </c>
      <c r="O864" t="n">
        <v>0</v>
      </c>
      <c r="P864" t="n">
        <v>0</v>
      </c>
      <c r="Q864" t="n">
        <v>0</v>
      </c>
      <c r="R864" s="2" t="inlineStr"/>
    </row>
    <row r="865" ht="15" customHeight="1">
      <c r="A865" t="inlineStr">
        <is>
          <t>A 26157-2025</t>
        </is>
      </c>
      <c r="B865" s="1" t="n">
        <v>45805</v>
      </c>
      <c r="C865" s="1" t="n">
        <v>45829</v>
      </c>
      <c r="D865" t="inlineStr">
        <is>
          <t>KALMAR LÄN</t>
        </is>
      </c>
      <c r="E865" t="inlineStr">
        <is>
          <t>MÖNSTERÅS</t>
        </is>
      </c>
      <c r="G865" t="n">
        <v>3.8</v>
      </c>
      <c r="H865" t="n">
        <v>0</v>
      </c>
      <c r="I865" t="n">
        <v>0</v>
      </c>
      <c r="J865" t="n">
        <v>0</v>
      </c>
      <c r="K865" t="n">
        <v>0</v>
      </c>
      <c r="L865" t="n">
        <v>0</v>
      </c>
      <c r="M865" t="n">
        <v>0</v>
      </c>
      <c r="N865" t="n">
        <v>0</v>
      </c>
      <c r="O865" t="n">
        <v>0</v>
      </c>
      <c r="P865" t="n">
        <v>0</v>
      </c>
      <c r="Q865" t="n">
        <v>0</v>
      </c>
      <c r="R865" s="2" t="inlineStr"/>
    </row>
    <row r="866" ht="15" customHeight="1">
      <c r="A866" t="inlineStr">
        <is>
          <t>A 26171-2025</t>
        </is>
      </c>
      <c r="B866" s="1" t="n">
        <v>45805</v>
      </c>
      <c r="C866" s="1" t="n">
        <v>45829</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45829</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28699-2025</t>
        </is>
      </c>
      <c r="B868" s="1" t="n">
        <v>45820</v>
      </c>
      <c r="C868" s="1" t="n">
        <v>45829</v>
      </c>
      <c r="D868" t="inlineStr">
        <is>
          <t>KALMAR LÄN</t>
        </is>
      </c>
      <c r="E868" t="inlineStr">
        <is>
          <t>MÖNSTERÅS</t>
        </is>
      </c>
      <c r="G868" t="n">
        <v>3</v>
      </c>
      <c r="H868" t="n">
        <v>0</v>
      </c>
      <c r="I868" t="n">
        <v>0</v>
      </c>
      <c r="J868" t="n">
        <v>0</v>
      </c>
      <c r="K868" t="n">
        <v>0</v>
      </c>
      <c r="L868" t="n">
        <v>0</v>
      </c>
      <c r="M868" t="n">
        <v>0</v>
      </c>
      <c r="N868" t="n">
        <v>0</v>
      </c>
      <c r="O868" t="n">
        <v>0</v>
      </c>
      <c r="P868" t="n">
        <v>0</v>
      </c>
      <c r="Q868" t="n">
        <v>0</v>
      </c>
      <c r="R868" s="2" t="inlineStr"/>
    </row>
    <row r="869">
      <c r="A869" t="inlineStr">
        <is>
          <t>A 28700-2025</t>
        </is>
      </c>
      <c r="B869" s="1" t="n">
        <v>45820</v>
      </c>
      <c r="C869" s="1" t="n">
        <v>45829</v>
      </c>
      <c r="D869" t="inlineStr">
        <is>
          <t>KALMAR LÄN</t>
        </is>
      </c>
      <c r="E869" t="inlineStr">
        <is>
          <t>MÖNSTERÅS</t>
        </is>
      </c>
      <c r="G869" t="n">
        <v>2.7</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2025-06-21T19:12:26Z</dcterms:created>
  <dcterms:modified xmlns:dcterms="http://purl.org/dc/terms/" xmlns:xsi="http://www.w3.org/2001/XMLSchema-instance" xsi:type="dcterms:W3CDTF">2025-06-21T19:12:27Z</dcterms:modified>
</cp:coreProperties>
</file>
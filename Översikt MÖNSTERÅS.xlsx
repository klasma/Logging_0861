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45720</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45720</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45720</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45720</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45720</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45720</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45720</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45720</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45720</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45720</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45720</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45720</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45720</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55371-2020</t>
        </is>
      </c>
      <c r="B22" s="1" t="n">
        <v>44130</v>
      </c>
      <c r="C22" s="1" t="n">
        <v>45720</v>
      </c>
      <c r="D22" t="inlineStr">
        <is>
          <t>KALMAR LÄN</t>
        </is>
      </c>
      <c r="E22" t="inlineStr">
        <is>
          <t>MÖNSTERÅS</t>
        </is>
      </c>
      <c r="F22" t="inlineStr">
        <is>
          <t>Övriga Aktiebolag</t>
        </is>
      </c>
      <c r="G22" t="n">
        <v>12.7</v>
      </c>
      <c r="H22" t="n">
        <v>4</v>
      </c>
      <c r="I22" t="n">
        <v>1</v>
      </c>
      <c r="J22" t="n">
        <v>3</v>
      </c>
      <c r="K22" t="n">
        <v>0</v>
      </c>
      <c r="L22" t="n">
        <v>0</v>
      </c>
      <c r="M22" t="n">
        <v>0</v>
      </c>
      <c r="N22" t="n">
        <v>0</v>
      </c>
      <c r="O22" t="n">
        <v>3</v>
      </c>
      <c r="P22" t="n">
        <v>0</v>
      </c>
      <c r="Q22" t="n">
        <v>5</v>
      </c>
      <c r="R22" s="2" t="inlineStr">
        <is>
          <t>Havsörn
Kungsörn
Spillkråka
Blomskägglav
Revlummer</t>
        </is>
      </c>
      <c r="S22">
        <f>HYPERLINK("https://klasma.github.io/Logging_0861/artfynd/A 55371-2020 artfynd.xlsx", "A 55371-2020")</f>
        <v/>
      </c>
      <c r="T22">
        <f>HYPERLINK("https://klasma.github.io/Logging_0861/kartor/A 55371-2020 karta.png", "A 55371-2020")</f>
        <v/>
      </c>
      <c r="V22">
        <f>HYPERLINK("https://klasma.github.io/Logging_0861/klagomål/A 55371-2020 FSC-klagomål.docx", "A 55371-2020")</f>
        <v/>
      </c>
      <c r="W22">
        <f>HYPERLINK("https://klasma.github.io/Logging_0861/klagomålsmail/A 55371-2020 FSC-klagomål mail.docx", "A 55371-2020")</f>
        <v/>
      </c>
      <c r="X22">
        <f>HYPERLINK("https://klasma.github.io/Logging_0861/tillsyn/A 55371-2020 tillsynsbegäran.docx", "A 55371-2020")</f>
        <v/>
      </c>
      <c r="Y22">
        <f>HYPERLINK("https://klasma.github.io/Logging_0861/tillsynsmail/A 55371-2020 tillsynsbegäran mail.docx", "A 55371-2020")</f>
        <v/>
      </c>
      <c r="Z22">
        <f>HYPERLINK("https://klasma.github.io/Logging_0861/fåglar/A 55371-2020 prioriterade fågelarter.docx", "A 55371-2020")</f>
        <v/>
      </c>
    </row>
    <row r="23" ht="15" customHeight="1">
      <c r="A23" t="inlineStr">
        <is>
          <t>A 61121-2022</t>
        </is>
      </c>
      <c r="B23" s="1" t="n">
        <v>44908</v>
      </c>
      <c r="C23" s="1" t="n">
        <v>45720</v>
      </c>
      <c r="D23" t="inlineStr">
        <is>
          <t>KALMAR LÄN</t>
        </is>
      </c>
      <c r="E23" t="inlineStr">
        <is>
          <t>MÖNSTERÅS</t>
        </is>
      </c>
      <c r="F23" t="inlineStr">
        <is>
          <t>Kyrkan</t>
        </is>
      </c>
      <c r="G23" t="n">
        <v>3.9</v>
      </c>
      <c r="H23" t="n">
        <v>1</v>
      </c>
      <c r="I23" t="n">
        <v>2</v>
      </c>
      <c r="J23" t="n">
        <v>3</v>
      </c>
      <c r="K23" t="n">
        <v>0</v>
      </c>
      <c r="L23" t="n">
        <v>0</v>
      </c>
      <c r="M23" t="n">
        <v>0</v>
      </c>
      <c r="N23" t="n">
        <v>0</v>
      </c>
      <c r="O23" t="n">
        <v>3</v>
      </c>
      <c r="P23" t="n">
        <v>0</v>
      </c>
      <c r="Q23" t="n">
        <v>5</v>
      </c>
      <c r="R23" s="2" t="inlineStr">
        <is>
          <t>Talltita
Ullticka
Vedtrappmossa
Flagellkvastmossa
Kornknutmossa</t>
        </is>
      </c>
      <c r="S23">
        <f>HYPERLINK("https://klasma.github.io/Logging_0861/artfynd/A 61121-2022 artfynd.xlsx", "A 61121-2022")</f>
        <v/>
      </c>
      <c r="T23">
        <f>HYPERLINK("https://klasma.github.io/Logging_0861/kartor/A 61121-2022 karta.png", "A 61121-2022")</f>
        <v/>
      </c>
      <c r="V23">
        <f>HYPERLINK("https://klasma.github.io/Logging_0861/klagomål/A 61121-2022 FSC-klagomål.docx", "A 61121-2022")</f>
        <v/>
      </c>
      <c r="W23">
        <f>HYPERLINK("https://klasma.github.io/Logging_0861/klagomålsmail/A 61121-2022 FSC-klagomål mail.docx", "A 61121-2022")</f>
        <v/>
      </c>
      <c r="X23">
        <f>HYPERLINK("https://klasma.github.io/Logging_0861/tillsyn/A 61121-2022 tillsynsbegäran.docx", "A 61121-2022")</f>
        <v/>
      </c>
      <c r="Y23">
        <f>HYPERLINK("https://klasma.github.io/Logging_0861/tillsynsmail/A 61121-2022 tillsynsbegäran mail.docx", "A 61121-2022")</f>
        <v/>
      </c>
      <c r="Z23">
        <f>HYPERLINK("https://klasma.github.io/Logging_0861/fåglar/A 61121-2022 prioriterade fågelarter.docx", "A 61121-2022")</f>
        <v/>
      </c>
    </row>
    <row r="24" ht="15" customHeight="1">
      <c r="A24" t="inlineStr">
        <is>
          <t>A 64870-2023</t>
        </is>
      </c>
      <c r="B24" s="1" t="n">
        <v>45282</v>
      </c>
      <c r="C24" s="1" t="n">
        <v>45720</v>
      </c>
      <c r="D24" t="inlineStr">
        <is>
          <t>KALMAR LÄN</t>
        </is>
      </c>
      <c r="E24" t="inlineStr">
        <is>
          <t>MÖNSTERÅS</t>
        </is>
      </c>
      <c r="G24" t="n">
        <v>12.3</v>
      </c>
      <c r="H24" t="n">
        <v>3</v>
      </c>
      <c r="I24" t="n">
        <v>2</v>
      </c>
      <c r="J24" t="n">
        <v>2</v>
      </c>
      <c r="K24" t="n">
        <v>1</v>
      </c>
      <c r="L24" t="n">
        <v>0</v>
      </c>
      <c r="M24" t="n">
        <v>0</v>
      </c>
      <c r="N24" t="n">
        <v>0</v>
      </c>
      <c r="O24" t="n">
        <v>3</v>
      </c>
      <c r="P24" t="n">
        <v>1</v>
      </c>
      <c r="Q24" t="n">
        <v>5</v>
      </c>
      <c r="R24" s="2" t="inlineStr">
        <is>
          <t>Knärot
Spillkråka
Talltita
Blåmossa
Grönpyrola</t>
        </is>
      </c>
      <c r="S24">
        <f>HYPERLINK("https://klasma.github.io/Logging_0861/artfynd/A 64870-2023 artfynd.xlsx", "A 64870-2023")</f>
        <v/>
      </c>
      <c r="T24">
        <f>HYPERLINK("https://klasma.github.io/Logging_0861/kartor/A 64870-2023 karta.png", "A 64870-2023")</f>
        <v/>
      </c>
      <c r="U24">
        <f>HYPERLINK("https://klasma.github.io/Logging_0861/knärot/A 64870-2023 karta knärot.png", "A 64870-2023")</f>
        <v/>
      </c>
      <c r="V24">
        <f>HYPERLINK("https://klasma.github.io/Logging_0861/klagomål/A 64870-2023 FSC-klagomål.docx", "A 64870-2023")</f>
        <v/>
      </c>
      <c r="W24">
        <f>HYPERLINK("https://klasma.github.io/Logging_0861/klagomålsmail/A 64870-2023 FSC-klagomål mail.docx", "A 64870-2023")</f>
        <v/>
      </c>
      <c r="X24">
        <f>HYPERLINK("https://klasma.github.io/Logging_0861/tillsyn/A 64870-2023 tillsynsbegäran.docx", "A 64870-2023")</f>
        <v/>
      </c>
      <c r="Y24">
        <f>HYPERLINK("https://klasma.github.io/Logging_0861/tillsynsmail/A 64870-2023 tillsynsbegäran mail.docx", "A 64870-2023")</f>
        <v/>
      </c>
      <c r="Z24">
        <f>HYPERLINK("https://klasma.github.io/Logging_0861/fåglar/A 64870-2023 prioriterade fågelarter.docx", "A 64870-2023")</f>
        <v/>
      </c>
    </row>
    <row r="25" ht="15" customHeight="1">
      <c r="A25" t="inlineStr">
        <is>
          <t>A 37143-2024</t>
        </is>
      </c>
      <c r="B25" s="1" t="n">
        <v>45539</v>
      </c>
      <c r="C25" s="1" t="n">
        <v>45720</v>
      </c>
      <c r="D25" t="inlineStr">
        <is>
          <t>KALMAR LÄN</t>
        </is>
      </c>
      <c r="E25" t="inlineStr">
        <is>
          <t>MÖNSTERÅS</t>
        </is>
      </c>
      <c r="G25" t="n">
        <v>0.9</v>
      </c>
      <c r="H25" t="n">
        <v>5</v>
      </c>
      <c r="I25" t="n">
        <v>0</v>
      </c>
      <c r="J25" t="n">
        <v>2</v>
      </c>
      <c r="K25" t="n">
        <v>0</v>
      </c>
      <c r="L25" t="n">
        <v>0</v>
      </c>
      <c r="M25" t="n">
        <v>0</v>
      </c>
      <c r="N25" t="n">
        <v>0</v>
      </c>
      <c r="O25" t="n">
        <v>2</v>
      </c>
      <c r="P25" t="n">
        <v>0</v>
      </c>
      <c r="Q25" t="n">
        <v>5</v>
      </c>
      <c r="R25" s="2" t="inlineStr">
        <is>
          <t>Brunlångöra
Nordfladdermus
Dvärgpipistrell
Större brunfladdermus
Vattenfladdermus</t>
        </is>
      </c>
      <c r="S25">
        <f>HYPERLINK("https://klasma.github.io/Logging_0861/artfynd/A 37143-2024 artfynd.xlsx", "A 37143-2024")</f>
        <v/>
      </c>
      <c r="T25">
        <f>HYPERLINK("https://klasma.github.io/Logging_0861/kartor/A 37143-2024 karta.png", "A 37143-2024")</f>
        <v/>
      </c>
      <c r="V25">
        <f>HYPERLINK("https://klasma.github.io/Logging_0861/klagomål/A 37143-2024 FSC-klagomål.docx", "A 37143-2024")</f>
        <v/>
      </c>
      <c r="W25">
        <f>HYPERLINK("https://klasma.github.io/Logging_0861/klagomålsmail/A 37143-2024 FSC-klagomål mail.docx", "A 37143-2024")</f>
        <v/>
      </c>
      <c r="X25">
        <f>HYPERLINK("https://klasma.github.io/Logging_0861/tillsyn/A 37143-2024 tillsynsbegäran.docx", "A 37143-2024")</f>
        <v/>
      </c>
      <c r="Y25">
        <f>HYPERLINK("https://klasma.github.io/Logging_0861/tillsynsmail/A 37143-2024 tillsynsbegäran mail.docx", "A 37143-2024")</f>
        <v/>
      </c>
    </row>
    <row r="26" ht="15" customHeight="1">
      <c r="A26" t="inlineStr">
        <is>
          <t>A 2569-2025</t>
        </is>
      </c>
      <c r="B26" s="1" t="n">
        <v>45674</v>
      </c>
      <c r="C26" s="1" t="n">
        <v>45720</v>
      </c>
      <c r="D26" t="inlineStr">
        <is>
          <t>KALMAR LÄN</t>
        </is>
      </c>
      <c r="E26" t="inlineStr">
        <is>
          <t>MÖNSTERÅS</t>
        </is>
      </c>
      <c r="G26" t="n">
        <v>4.3</v>
      </c>
      <c r="H26" t="n">
        <v>3</v>
      </c>
      <c r="I26" t="n">
        <v>2</v>
      </c>
      <c r="J26" t="n">
        <v>1</v>
      </c>
      <c r="K26" t="n">
        <v>1</v>
      </c>
      <c r="L26" t="n">
        <v>0</v>
      </c>
      <c r="M26" t="n">
        <v>0</v>
      </c>
      <c r="N26" t="n">
        <v>0</v>
      </c>
      <c r="O26" t="n">
        <v>2</v>
      </c>
      <c r="P26" t="n">
        <v>1</v>
      </c>
      <c r="Q26" t="n">
        <v>5</v>
      </c>
      <c r="R26" s="2" t="inlineStr">
        <is>
          <t>Knärot
Spillkråka
Blåmossa
Grönpyrola
Kungsfågel</t>
        </is>
      </c>
      <c r="S26">
        <f>HYPERLINK("https://klasma.github.io/Logging_0861/artfynd/A 2569-2025 artfynd.xlsx", "A 2569-2025")</f>
        <v/>
      </c>
      <c r="T26">
        <f>HYPERLINK("https://klasma.github.io/Logging_0861/kartor/A 2569-2025 karta.png", "A 2569-2025")</f>
        <v/>
      </c>
      <c r="U26">
        <f>HYPERLINK("https://klasma.github.io/Logging_0861/knärot/A 2569-2025 karta knärot.png", "A 2569-2025")</f>
        <v/>
      </c>
      <c r="V26">
        <f>HYPERLINK("https://klasma.github.io/Logging_0861/klagomål/A 2569-2025 FSC-klagomål.docx", "A 2569-2025")</f>
        <v/>
      </c>
      <c r="W26">
        <f>HYPERLINK("https://klasma.github.io/Logging_0861/klagomålsmail/A 2569-2025 FSC-klagomål mail.docx", "A 2569-2025")</f>
        <v/>
      </c>
      <c r="X26">
        <f>HYPERLINK("https://klasma.github.io/Logging_0861/tillsyn/A 2569-2025 tillsynsbegäran.docx", "A 2569-2025")</f>
        <v/>
      </c>
      <c r="Y26">
        <f>HYPERLINK("https://klasma.github.io/Logging_0861/tillsynsmail/A 2569-2025 tillsynsbegäran mail.docx", "A 2569-2025")</f>
        <v/>
      </c>
      <c r="Z26">
        <f>HYPERLINK("https://klasma.github.io/Logging_0861/fåglar/A 2569-2025 prioriterade fågelarter.docx", "A 2569-2025")</f>
        <v/>
      </c>
    </row>
    <row r="27" ht="15" customHeight="1">
      <c r="A27" t="inlineStr">
        <is>
          <t>A 7097-2020</t>
        </is>
      </c>
      <c r="B27" s="1" t="n">
        <v>43868</v>
      </c>
      <c r="C27" s="1" t="n">
        <v>45720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45720</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45720</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45720</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45720</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45720</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45720</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45720</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45720</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45720</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45720</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45720</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45720</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45720</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45720</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45720</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45720</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45720</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45720</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45720</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45720</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45720</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45720</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45720</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45720</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45720</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45720</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45720</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45720</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45720</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45720</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45720</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45720</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45720</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45720</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45720</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45720</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45720</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45720</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45720</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45720</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45720</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45720</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45720</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45720</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45720</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45720</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45720</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45720</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45720</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45720</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45720</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45720</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45720</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45720</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45720</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45720</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45720</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45720</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45720</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45720</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45720</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45720</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45720</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45720</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45720</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45720</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45720</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45720</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45720</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45720</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45720</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45720</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45720</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45720</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45720</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45720</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45720</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45720</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45720</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45720</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45720</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45720</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45720</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45720</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45720</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45720</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45720</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45720</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45720</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45720</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45720</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45720</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45720</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45720</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45720</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45720</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45720</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45720</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45720</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45720</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45720</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45720</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45720</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45720</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45720</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45720</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45720</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45720</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45720</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45720</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45720</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45720</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45720</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45720</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45720</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45720</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45720</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45720</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45720</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45720</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45720</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45720</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45720</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45720</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45720</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45720</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45720</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45720</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45720</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45720</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45720</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45720</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45720</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45720</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45720</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45720</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45720</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45720</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45720</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45720</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45720</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45720</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45720</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45720</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45720</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45720</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45720</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45720</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45720</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45720</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45720</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45720</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45720</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45720</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45720</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45720</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45720</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45720</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45720</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45720</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45720</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45720</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45720</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45720</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45720</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45720</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45720</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45720</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45720</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45720</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45720</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45720</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45720</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45720</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45720</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45720</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45720</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45720</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45720</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45720</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45720</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45720</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45720</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45720</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45720</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45720</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45720</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45720</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45720</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45720</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45720</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45720</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45720</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45720</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45720</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45720</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45720</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45720</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45720</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45720</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45720</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45720</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45720</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45720</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45720</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45720</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45720</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45720</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45720</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45720</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45720</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45720</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45720</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45720</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45720</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45720</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45720</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45720</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45720</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45720</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45720</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45720</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45720</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45720</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45720</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45720</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45720</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45720</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45720</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45720</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45720</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45720</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45720</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45720</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45720</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45720</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45720</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45720</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45720</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45720</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45720</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45720</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45720</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45720</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45720</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45720</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45720</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45720</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45720</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45720</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45720</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45720</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45720</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45720</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45720</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45720</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45720</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45720</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45720</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45720</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45720</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45720</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45720</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45720</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45720</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45720</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45720</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45720</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45720</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45720</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45720</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45720</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45720</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45720</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45720</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45720</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45720</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45720</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45720</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45720</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45720</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45720</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45720</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45720</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45720</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45720</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45720</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45720</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45720</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45720</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45720</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45720</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45720</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45720</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45720</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45720</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45720</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45720</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45720</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45720</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45720</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45720</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45720</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45720</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45720</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45720</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45720</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45720</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45720</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45720</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45720</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45720</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45720</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45720</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45720</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45720</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45720</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45720</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45720</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45720</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45720</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45720</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45720</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45720</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45720</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45720</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45720</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45720</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45720</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45720</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45720</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45720</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45720</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45720</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45720</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45720</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45720</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45720</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45720</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45720</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45720</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45720</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45720</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45720</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45720</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45720</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45720</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45720</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45720</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45720</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45720</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45720</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45720</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45720</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45720</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45720</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45720</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45720</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45720</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45720</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45720</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45720</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45720</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45720</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45720</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45720</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45720</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45720</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45720</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45720</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45720</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45720</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45720</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45720</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45720</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45720</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45720</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45720</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45720</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45720</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45720</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45720</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45720</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45720</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45720</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45720</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45720</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45720</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45720</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45720</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45720</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45720</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45720</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45720</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45720</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45720</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45720</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45720</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45720</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45720</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45720</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45720</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45720</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45720</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45720</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45720</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45720</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45720</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45720</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45720</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45720</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45720</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45720</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45720</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45720</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45720</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45720</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45720</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45720</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45720</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45720</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45720</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45720</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45720</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45720</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45720</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45720</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45720</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45720</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45720</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45720</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45720</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45720</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45720</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45720</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45720</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45720</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45720</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45720</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45720</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45720</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45720</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45720</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45720</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45720</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45720</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45720</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45720</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45720</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45720</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45720</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45720</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45720</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45720</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45720</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45720</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45720</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45720</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45720</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45720</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45720</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45720</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45720</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45720</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45720</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45720</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45720</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45720</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45720</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45720</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45720</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45720</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45720</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45720</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45720</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45720</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45720</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45720</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45720</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45720</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45720</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45720</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45720</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45720</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45720</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45720</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45720</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45720</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45720</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45720</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45720</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45720</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45720</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45720</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45720</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45720</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45720</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45720</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45720</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45720</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45720</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45720</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45720</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45720</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45720</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45720</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45720</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45720</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45720</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45720</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45720</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45720</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45720</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45720</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45720</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45720</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45720</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45720</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45720</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45720</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45720</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45720</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45720</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45720</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45720</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45720</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45720</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45720</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45720</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45720</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45720</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45720</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45720</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45720</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45720</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45720</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45720</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45720</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45720</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45720</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45720</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45720</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45720</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45720</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45720</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45720</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45720</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45720</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45720</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45720</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45720</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45720</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45720</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45720</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45720</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45720</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45720</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45720</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45720</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45720</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45720</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45720</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45720</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45720</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45720</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45720</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45720</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45720</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45720</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45720</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45720</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45720</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45720</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45720</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45720</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45720</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45720</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45720</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45720</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45720</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45720</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45720</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45720</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45720</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45720</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45720</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45720</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45720</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45720</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45720</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45720</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45720</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45720</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45720</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45720</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45720</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45720</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45720</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45720</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45720</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45720</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45720</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45720</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45720</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45720</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45720</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45720</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45720</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45720</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45720</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45720</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45720</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45720</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45720</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45720</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45720</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45720</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45720</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45720</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45720</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45720</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45720</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45720</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45720</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45720</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45720</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45720</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45720</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45720</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45720</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45720</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45720</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45720</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45720</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45720</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45720</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45720</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45720</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45720</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45720</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45720</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45720</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45720</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45720</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45720</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45720</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45720</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45720</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45720</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45720</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45720</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45720</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45720</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45720</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45720</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45720</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45720</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45720</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45720</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45720</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45720</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45720</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45720</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45720</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45720</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45720</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45720</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45720</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45720</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45720</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45720</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45720</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45720</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45720</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45720</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45720</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45720</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45720</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45720</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45720</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45720</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45720</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45720</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45720</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45720</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45720</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45720</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45720</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45720</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45720</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45720</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45720</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45720</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45720</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45720</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45720</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45720</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45720</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45720</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45720</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45720</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45720</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45720</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45720</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45720</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45720</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45720</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45720</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45720</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45720</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45720</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45720</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45720</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45720</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45720</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45720</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45720</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45720</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45720</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45720</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45720</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45720</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45720</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45720</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45720</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45720</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45720</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45720</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45720</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45720</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45720</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45720</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45720</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45720</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45720</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45720</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45720</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45720</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45720</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45720</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45720</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45720</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45720</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45720</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45720</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45720</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45720</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45720</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45720</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45720</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45720</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45720</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45720</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45720</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45720</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45720</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45720</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45720</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45720</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45720</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45720</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45720</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45720</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45720</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45720</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45720</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45720</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45720</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45720</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45720</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45720</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45720</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45720</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45720</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45720</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45720</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45720</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45720</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45720</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45720</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45720</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45720</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2025-03-04T17:17:19Z</dcterms:created>
  <dcterms:modified xmlns:dcterms="http://purl.org/dc/terms/" xmlns:xsi="http://www.w3.org/2001/XMLSchema-instance" xsi:type="dcterms:W3CDTF">2025-03-04T17:17:19Z</dcterms:modified>
</cp:coreProperties>
</file>
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46326</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46326</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46326</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46326</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2786-2026</t>
        </is>
      </c>
      <c r="B13" t="inlineStr">
        <is>
          <t>samrådsanmälan</t>
        </is>
      </c>
      <c r="C13" t="inlineStr">
        <is>
          <t>Annan skogsbruksåtgärd</t>
        </is>
      </c>
      <c r="D13" s="1" t="n">
        <v>46318</v>
      </c>
      <c r="E13" s="1" t="n">
        <v>46326</v>
      </c>
      <c r="F13" t="inlineStr">
        <is>
          <t>KALMAR LÄN</t>
        </is>
      </c>
      <c r="G13" t="inlineStr">
        <is>
          <t>MÖNSTERÅS</t>
        </is>
      </c>
      <c r="H13" t="inlineStr">
        <is>
          <t>Kyrkan</t>
        </is>
      </c>
      <c r="I13" t="n">
        <v>7.2</v>
      </c>
      <c r="J13" t="n">
        <v>3</v>
      </c>
      <c r="K13" t="n">
        <v>4</v>
      </c>
      <c r="L13" t="n">
        <v>5</v>
      </c>
      <c r="M13" t="n">
        <v>3</v>
      </c>
      <c r="N13" t="n">
        <v>0</v>
      </c>
      <c r="O13" t="n">
        <v>0</v>
      </c>
      <c r="P13" t="n">
        <v>0</v>
      </c>
      <c r="Q13" t="n">
        <v>8</v>
      </c>
      <c r="R13" t="n">
        <v>3</v>
      </c>
      <c r="S13" t="n">
        <v>14</v>
      </c>
      <c r="T13" t="n">
        <v>16</v>
      </c>
      <c r="U13" t="n">
        <v>0</v>
      </c>
      <c r="V13" s="2" t="inlineStr">
        <is>
          <t>Glänsande blombagge
Hjärtstilla
Linddyna
Enfärgad brandsvampbagge
Mindre hackspett
Oxtungssvamp
Svartspetsad rödrock
Vårärt
Bokoxe
Fällmossa
Guldlockmossa
Lindbock
Blåsippa
Gullviva</t>
        </is>
      </c>
      <c r="W13">
        <f>HYPERLINK("https://klasma.github.io/Logging_0861/artfynd/S 2786-2026 artfynd.xlsx", "S 2786-2026")</f>
        <v/>
      </c>
      <c r="X13">
        <f>HYPERLINK("https://klasma.github.io/Logging_0861/kartor/S 2786-2026 karta.png", "S 2786-2026")</f>
        <v/>
      </c>
      <c r="Y13">
        <f>HYPERLINK("https://klasma.github.io/Logging_0861/kartor_geotiff/S 2786-2026 georefererad karta.tif", "S 2786-2026")</f>
        <v/>
      </c>
      <c r="AA13">
        <f>HYPERLINK("https://klasma.github.io/Logging_0861/klagomål/S 2786-2026 FSC-klagomål.docx", "S 2786-2026")</f>
        <v/>
      </c>
      <c r="AB13">
        <f>HYPERLINK("https://klasma.github.io/Logging_0861/klagomålsmail/S 2786-2026 FSC-klagomål mail.docx", "S 2786-2026")</f>
        <v/>
      </c>
      <c r="AC13">
        <f>HYPERLINK("https://klasma.github.io/Logging_0861/tillsyn/S 2786-2026 tillsynsbegäran.docx", "S 2786-2026")</f>
        <v/>
      </c>
      <c r="AD13">
        <f>HYPERLINK("https://klasma.github.io/Logging_0861/tillsynsmail/S 2786-2026 tillsynsbegäran mail.docx", "S 2786-2026")</f>
        <v/>
      </c>
      <c r="AE13">
        <f>HYPERLINK("https://klasma.github.io/Logging_0861/fåglar/S 2786-2026 prioriterade fågelarter.docx", "S 2786-2026")</f>
        <v/>
      </c>
    </row>
    <row r="14" ht="15" customHeight="1">
      <c r="A14" t="inlineStr">
        <is>
          <t>S 758-2023</t>
        </is>
      </c>
      <c r="B14" t="inlineStr">
        <is>
          <t>samrådsanmälan</t>
        </is>
      </c>
      <c r="C14" t="inlineStr">
        <is>
          <t>Askåterföring</t>
        </is>
      </c>
      <c r="D14" s="1" t="n">
        <v>44981</v>
      </c>
      <c r="E14" s="1" t="n">
        <v>46326</v>
      </c>
      <c r="F14" t="inlineStr">
        <is>
          <t>KALMAR LÄN</t>
        </is>
      </c>
      <c r="G14" t="inlineStr">
        <is>
          <t>MÖNSTERÅS</t>
        </is>
      </c>
      <c r="I14" t="n">
        <v>25.8</v>
      </c>
      <c r="J14" t="n">
        <v>10</v>
      </c>
      <c r="K14" t="n">
        <v>0</v>
      </c>
      <c r="L14" t="n">
        <v>7</v>
      </c>
      <c r="M14" t="n">
        <v>0</v>
      </c>
      <c r="N14" t="n">
        <v>0</v>
      </c>
      <c r="O14" t="n">
        <v>0</v>
      </c>
      <c r="P14" t="n">
        <v>0</v>
      </c>
      <c r="Q14" t="n">
        <v>7</v>
      </c>
      <c r="R14" t="n">
        <v>0</v>
      </c>
      <c r="S14" t="n">
        <v>13</v>
      </c>
      <c r="T14" t="n">
        <v>46</v>
      </c>
      <c r="U14" t="n">
        <v>1</v>
      </c>
      <c r="V14" s="2" t="inlineStr">
        <is>
          <t>Barbastell
Grönsångare
Jungfrulin
Nordfladdermus
Solvända
Spindelört
Talltita
Nattskärra
Tjäder
Dvärgpipistrell
Större brunfladdermus
Fläcknycklar
Gullviva</t>
        </is>
      </c>
      <c r="W14">
        <f>HYPERLINK("https://klasma.github.io/Logging_0861/artfynd/S 758-2023 artfynd.xlsx", "S 758-2023")</f>
        <v/>
      </c>
      <c r="X14">
        <f>HYPERLINK("https://klasma.github.io/Logging_0861/kartor/S 758-2023 karta.png", "S 758-2023")</f>
        <v/>
      </c>
      <c r="Y14">
        <f>HYPERLINK("https://klasma.github.io/Logging_0861/kartor_geotiff/S 758-2023 georefererad karta.tif", "S 758-2023")</f>
        <v/>
      </c>
      <c r="AA14">
        <f>HYPERLINK("https://klasma.github.io/Logging_0861/klagomål/S 758-2023 FSC-klagomål.docx", "S 758-2023")</f>
        <v/>
      </c>
      <c r="AB14">
        <f>HYPERLINK("https://klasma.github.io/Logging_0861/klagomålsmail/S 758-2023 FSC-klagomål mail.docx", "S 758-2023")</f>
        <v/>
      </c>
      <c r="AC14">
        <f>HYPERLINK("https://klasma.github.io/Logging_0861/tillsyn/S 758-2023 tillsynsbegäran.docx", "S 758-2023")</f>
        <v/>
      </c>
      <c r="AD14">
        <f>HYPERLINK("https://klasma.github.io/Logging_0861/tillsynsmail/S 758-2023 tillsynsbegäran mail.docx", "S 758-2023")</f>
        <v/>
      </c>
      <c r="AE14">
        <f>HYPERLINK("https://klasma.github.io/Logging_0861/fåglar/S 758-2023 prioriterade fågelarter.docx", "S 758-2023")</f>
        <v/>
      </c>
    </row>
    <row r="15" ht="15" customHeight="1">
      <c r="A15" t="inlineStr">
        <is>
          <t>A 25231-2023</t>
        </is>
      </c>
      <c r="B15" t="inlineStr">
        <is>
          <t>avverkningsanmälan</t>
        </is>
      </c>
      <c r="C15" t="inlineStr">
        <is>
          <t>Föryngringsavverkning</t>
        </is>
      </c>
      <c r="D15" s="1" t="n">
        <v>45086</v>
      </c>
      <c r="E15" s="1" t="n">
        <v>46326</v>
      </c>
      <c r="F15" t="inlineStr">
        <is>
          <t>KALMAR LÄN</t>
        </is>
      </c>
      <c r="G15" t="inlineStr">
        <is>
          <t>MÖNSTERÅS</t>
        </is>
      </c>
      <c r="I15" t="n">
        <v>6.4</v>
      </c>
      <c r="J15" t="n">
        <v>12</v>
      </c>
      <c r="K15" t="n">
        <v>0</v>
      </c>
      <c r="L15" t="n">
        <v>6</v>
      </c>
      <c r="M15" t="n">
        <v>0</v>
      </c>
      <c r="N15" t="n">
        <v>0</v>
      </c>
      <c r="O15" t="n">
        <v>0</v>
      </c>
      <c r="P15" t="n">
        <v>0</v>
      </c>
      <c r="Q15" t="n">
        <v>6</v>
      </c>
      <c r="R15" t="n">
        <v>0</v>
      </c>
      <c r="S15" t="n">
        <v>12</v>
      </c>
      <c r="T15" t="n">
        <v>17</v>
      </c>
      <c r="U15" t="n">
        <v>5</v>
      </c>
      <c r="V15" s="2" t="inlineStr">
        <is>
          <t>Barbastell
Brunlångöra
Dammfladdermus
Fransfladdermus
Nordfladdermus
Talltita
Dvärgpipistrell
Gråskimlig fladdermus
Hasselmus
Större brunfladdermus
Trollpipistrell
Vattenfladdermus</t>
        </is>
      </c>
      <c r="W15">
        <f>HYPERLINK("https://klasma.github.io/Logging_0861/artfynd/A 25231-2023 artfynd.xlsx", "A 25231-2023")</f>
        <v/>
      </c>
      <c r="X15">
        <f>HYPERLINK("https://klasma.github.io/Logging_0861/kartor/A 25231-2023 karta.png", "A 25231-2023")</f>
        <v/>
      </c>
      <c r="Y15">
        <f>HYPERLINK("https://klasma.github.io/Logging_0861/kartor_geotiff/A 25231-2023 georefererad karta.tif", "A 25231-2023")</f>
        <v/>
      </c>
      <c r="AA15">
        <f>HYPERLINK("https://klasma.github.io/Logging_0861/klagomål/A 25231-2023 FSC-klagomål.docx", "A 25231-2023")</f>
        <v/>
      </c>
      <c r="AB15">
        <f>HYPERLINK("https://klasma.github.io/Logging_0861/klagomålsmail/A 25231-2023 FSC-klagomål mail.docx", "A 25231-2023")</f>
        <v/>
      </c>
      <c r="AC15">
        <f>HYPERLINK("https://klasma.github.io/Logging_0861/tillsyn/A 25231-2023 tillsynsbegäran.docx", "A 25231-2023")</f>
        <v/>
      </c>
      <c r="AD15">
        <f>HYPERLINK("https://klasma.github.io/Logging_0861/tillsynsmail/A 25231-2023 tillsynsbegäran mail.docx", "A 25231-2023")</f>
        <v/>
      </c>
      <c r="AE15">
        <f>HYPERLINK("https://klasma.github.io/Logging_0861/fåglar/A 25231-2023 prioriterade fågelarter.docx", "A 25231-2023")</f>
        <v/>
      </c>
    </row>
    <row r="16" ht="15" customHeight="1">
      <c r="A16" t="inlineStr">
        <is>
          <t>S 3727-2023</t>
        </is>
      </c>
      <c r="B16" t="inlineStr">
        <is>
          <t>samrådsanmälan</t>
        </is>
      </c>
      <c r="C16" t="inlineStr">
        <is>
          <t>Annan skogsbruksåtgärd</t>
        </is>
      </c>
      <c r="D16" s="1" t="n">
        <v>45222</v>
      </c>
      <c r="E16" s="1" t="n">
        <v>46326</v>
      </c>
      <c r="F16" t="inlineStr">
        <is>
          <t>KALMAR LÄN</t>
        </is>
      </c>
      <c r="G16" t="inlineStr">
        <is>
          <t>MÖNSTERÅS</t>
        </is>
      </c>
      <c r="H16" t="inlineStr">
        <is>
          <t>Övriga Aktiebolag</t>
        </is>
      </c>
      <c r="I16" t="n">
        <v>25.6</v>
      </c>
      <c r="J16" t="n">
        <v>0</v>
      </c>
      <c r="K16" t="n">
        <v>4</v>
      </c>
      <c r="L16" t="n">
        <v>7</v>
      </c>
      <c r="M16" t="n">
        <v>0</v>
      </c>
      <c r="N16" t="n">
        <v>1</v>
      </c>
      <c r="O16" t="n">
        <v>0</v>
      </c>
      <c r="P16" t="n">
        <v>0</v>
      </c>
      <c r="Q16" t="n">
        <v>8</v>
      </c>
      <c r="R16" t="n">
        <v>1</v>
      </c>
      <c r="S16" t="n">
        <v>12</v>
      </c>
      <c r="T16" t="n">
        <v>42</v>
      </c>
      <c r="U16" t="n">
        <v>0</v>
      </c>
      <c r="V16" s="2" t="inlineStr">
        <is>
          <t>Ask
Ekticka
Gammelekslav
Kandelabersvamp
Parknål
Puderfläck
Rutskinn
Skuggorangelav
Ekskinn
Gulpudrad spiklav
Rävticka
Sotlav</t>
        </is>
      </c>
      <c r="W16">
        <f>HYPERLINK("https://klasma.github.io/Logging_0861/artfynd/S 3727-2023 artfynd.xlsx", "S 3727-2023")</f>
        <v/>
      </c>
      <c r="X16">
        <f>HYPERLINK("https://klasma.github.io/Logging_0861/kartor/S 3727-2023 karta.png", "S 3727-2023")</f>
        <v/>
      </c>
      <c r="Y16">
        <f>HYPERLINK("https://klasma.github.io/Logging_0861/kartor_geotiff/S 3727-2023 georefererad karta.tif", "S 3727-2023")</f>
        <v/>
      </c>
      <c r="AA16">
        <f>HYPERLINK("https://klasma.github.io/Logging_0861/klagomål/S 3727-2023 FSC-klagomål.docx", "S 3727-2023")</f>
        <v/>
      </c>
      <c r="AB16">
        <f>HYPERLINK("https://klasma.github.io/Logging_0861/klagomålsmail/S 3727-2023 FSC-klagomål mail.docx", "S 3727-2023")</f>
        <v/>
      </c>
      <c r="AC16">
        <f>HYPERLINK("https://klasma.github.io/Logging_0861/tillsyn/S 3727-2023 tillsynsbegäran.docx", "S 3727-2023")</f>
        <v/>
      </c>
      <c r="AD16">
        <f>HYPERLINK("https://klasma.github.io/Logging_0861/tillsynsmail/S 3727-2023 tillsynsbegäran mail.docx", "S 3727-2023")</f>
        <v/>
      </c>
    </row>
    <row r="17" ht="15" customHeight="1">
      <c r="A17" t="inlineStr">
        <is>
          <t>S 10038-2021</t>
        </is>
      </c>
      <c r="B17" t="inlineStr">
        <is>
          <t>samrådsanmälan</t>
        </is>
      </c>
      <c r="C17" t="inlineStr">
        <is>
          <t>Åtgärd i nyckelbiotop</t>
        </is>
      </c>
      <c r="D17" s="1" t="n">
        <v>44537</v>
      </c>
      <c r="E17" s="1" t="n">
        <v>46326</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46326</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46326</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A 29379-2026</t>
        </is>
      </c>
      <c r="B20" t="inlineStr">
        <is>
          <t>avverkningsanmälan</t>
        </is>
      </c>
      <c r="C20" t="inlineStr">
        <is>
          <t>Föryngringsavverkning</t>
        </is>
      </c>
      <c r="D20" s="1" t="n">
        <v>46203</v>
      </c>
      <c r="E20" s="1" t="n">
        <v>46326</v>
      </c>
      <c r="F20" t="inlineStr">
        <is>
          <t>KALMAR LÄN</t>
        </is>
      </c>
      <c r="G20" t="inlineStr">
        <is>
          <t>MÖNSTERÅS</t>
        </is>
      </c>
      <c r="I20" t="n">
        <v>4.5</v>
      </c>
      <c r="J20" t="n">
        <v>4</v>
      </c>
      <c r="K20" t="n">
        <v>3</v>
      </c>
      <c r="L20" t="n">
        <v>3</v>
      </c>
      <c r="M20" t="n">
        <v>1</v>
      </c>
      <c r="N20" t="n">
        <v>0</v>
      </c>
      <c r="O20" t="n">
        <v>0</v>
      </c>
      <c r="P20" t="n">
        <v>0</v>
      </c>
      <c r="Q20" t="n">
        <v>4</v>
      </c>
      <c r="R20" t="n">
        <v>1</v>
      </c>
      <c r="S20" t="n">
        <v>10</v>
      </c>
      <c r="T20" t="n">
        <v>34</v>
      </c>
      <c r="U20" t="n">
        <v>34</v>
      </c>
      <c r="V20" s="2" t="inlineStr">
        <is>
          <t>Knärot
Gropticka
Motaggsvamp
Tallticka
Blomkålssvamp
Blåmossa
Grönpyrola
Spillkråka
Tofsmes
Revlummer</t>
        </is>
      </c>
      <c r="W20">
        <f>HYPERLINK("https://klasma.github.io/Logging_0861/artfynd/A 29379-2026 artfynd.xlsx", "A 29379-2026")</f>
        <v/>
      </c>
      <c r="X20">
        <f>HYPERLINK("https://klasma.github.io/Logging_0861/kartor/A 29379-2026 karta.png", "A 29379-2026")</f>
        <v/>
      </c>
      <c r="Y20">
        <f>HYPERLINK("https://klasma.github.io/Logging_0861/kartor_geotiff/A 29379-2026 georefererad karta.tif", "A 29379-2026")</f>
        <v/>
      </c>
      <c r="Z20">
        <f>HYPERLINK("https://klasma.github.io/Logging_0861/knärot/A 29379-2026 karta knärot.png", "A 29379-2026")</f>
        <v/>
      </c>
      <c r="AA20">
        <f>HYPERLINK("https://klasma.github.io/Logging_0861/klagomål/A 29379-2026 FSC-klagomål.docx", "A 29379-2026")</f>
        <v/>
      </c>
      <c r="AB20">
        <f>HYPERLINK("https://klasma.github.io/Logging_0861/klagomålsmail/A 29379-2026 FSC-klagomål mail.docx", "A 29379-2026")</f>
        <v/>
      </c>
      <c r="AC20">
        <f>HYPERLINK("https://klasma.github.io/Logging_0861/tillsyn/A 29379-2026 tillsynsbegäran.docx", "A 29379-2026")</f>
        <v/>
      </c>
      <c r="AD20">
        <f>HYPERLINK("https://klasma.github.io/Logging_0861/tillsynsmail/A 29379-2026 tillsynsbegäran mail.docx", "A 29379-2026")</f>
        <v/>
      </c>
      <c r="AE20">
        <f>HYPERLINK("https://klasma.github.io/Logging_0861/fåglar/A 29379-2026 prioriterade fågelarter.docx", "A 29379-2026")</f>
        <v/>
      </c>
    </row>
    <row r="21" ht="15" customHeight="1">
      <c r="A21" t="inlineStr">
        <is>
          <t>S 2019-2022</t>
        </is>
      </c>
      <c r="B21" t="inlineStr">
        <is>
          <t>samrådsanmälan</t>
        </is>
      </c>
      <c r="C21" t="inlineStr">
        <is>
          <t>Annan skogsbruksåtgärd</t>
        </is>
      </c>
      <c r="D21" s="1" t="n">
        <v>44665</v>
      </c>
      <c r="E21" s="1" t="n">
        <v>46326</v>
      </c>
      <c r="F21" t="inlineStr">
        <is>
          <t>KALMAR LÄN</t>
        </is>
      </c>
      <c r="G21" t="inlineStr">
        <is>
          <t>MÖNSTERÅS</t>
        </is>
      </c>
      <c r="I21" t="n">
        <v>10.4</v>
      </c>
      <c r="J21" t="n">
        <v>10</v>
      </c>
      <c r="K21" t="n">
        <v>0</v>
      </c>
      <c r="L21" t="n">
        <v>3</v>
      </c>
      <c r="M21" t="n">
        <v>0</v>
      </c>
      <c r="N21" t="n">
        <v>0</v>
      </c>
      <c r="O21" t="n">
        <v>0</v>
      </c>
      <c r="P21" t="n">
        <v>0</v>
      </c>
      <c r="Q21" t="n">
        <v>3</v>
      </c>
      <c r="R21" t="n">
        <v>0</v>
      </c>
      <c r="S21" t="n">
        <v>10</v>
      </c>
      <c r="T21" t="n">
        <v>28</v>
      </c>
      <c r="U21" t="n">
        <v>1</v>
      </c>
      <c r="V21" s="2" t="inlineStr">
        <is>
          <t>Barbastell
Brunlångöra
Nordfladdermus
Dvärgpipistrell
Större brunfladdermus
Trollpipistrell
Vattenfladdermus
Kopparödla
Mindre vattensalamander
Skogsödla</t>
        </is>
      </c>
      <c r="W21">
        <f>HYPERLINK("https://klasma.github.io/Logging_0861/artfynd/S 2019-2022 artfynd.xlsx", "S 2019-2022")</f>
        <v/>
      </c>
      <c r="X21">
        <f>HYPERLINK("https://klasma.github.io/Logging_0861/kartor/S 2019-2022 karta.png", "S 2019-2022")</f>
        <v/>
      </c>
      <c r="Y21">
        <f>HYPERLINK("https://klasma.github.io/Logging_0861/kartor_geotiff/S 2019-2022 georefererad karta.tif", "S 2019-2022")</f>
        <v/>
      </c>
      <c r="AA21">
        <f>HYPERLINK("https://klasma.github.io/Logging_0861/klagomål/S 2019-2022 FSC-klagomål.docx", "S 2019-2022")</f>
        <v/>
      </c>
      <c r="AB21">
        <f>HYPERLINK("https://klasma.github.io/Logging_0861/klagomålsmail/S 2019-2022 FSC-klagomål mail.docx", "S 2019-2022")</f>
        <v/>
      </c>
      <c r="AC21">
        <f>HYPERLINK("https://klasma.github.io/Logging_0861/tillsyn/S 2019-2022 tillsynsbegäran.docx", "S 2019-2022")</f>
        <v/>
      </c>
      <c r="AD21">
        <f>HYPERLINK("https://klasma.github.io/Logging_0861/tillsynsmail/S 2019-2022 tillsynsbegäran mail.docx", "S 2019-2022")</f>
        <v/>
      </c>
    </row>
    <row r="22" ht="15" customHeight="1">
      <c r="A22" t="inlineStr">
        <is>
          <t>S 3730-2023</t>
        </is>
      </c>
      <c r="B22" t="inlineStr">
        <is>
          <t>samrådsanmälan</t>
        </is>
      </c>
      <c r="C22" t="inlineStr">
        <is>
          <t>Annan skogsbruksåtgärd</t>
        </is>
      </c>
      <c r="D22" s="1" t="n">
        <v>45222</v>
      </c>
      <c r="E22" s="1" t="n">
        <v>46326</v>
      </c>
      <c r="F22" t="inlineStr">
        <is>
          <t>KALMAR LÄN</t>
        </is>
      </c>
      <c r="G22" t="inlineStr">
        <is>
          <t>MÖNSTERÅS</t>
        </is>
      </c>
      <c r="H22" t="inlineStr">
        <is>
          <t>Övriga Aktiebolag</t>
        </is>
      </c>
      <c r="I22" t="n">
        <v>5.3</v>
      </c>
      <c r="J22" t="n">
        <v>2</v>
      </c>
      <c r="K22" t="n">
        <v>2</v>
      </c>
      <c r="L22" t="n">
        <v>6</v>
      </c>
      <c r="M22" t="n">
        <v>1</v>
      </c>
      <c r="N22" t="n">
        <v>0</v>
      </c>
      <c r="O22" t="n">
        <v>0</v>
      </c>
      <c r="P22" t="n">
        <v>0</v>
      </c>
      <c r="Q22" t="n">
        <v>7</v>
      </c>
      <c r="R22" t="n">
        <v>1</v>
      </c>
      <c r="S22" t="n">
        <v>10</v>
      </c>
      <c r="T22" t="n">
        <v>27</v>
      </c>
      <c r="U22" t="n">
        <v>0</v>
      </c>
      <c r="V22" s="2" t="inlineStr">
        <is>
          <t>Läderbagge
Gammelekslav
Gul dropplav
Parknål
Rödbrun blekspik
Skuggorangelav
Vippärt
Gulpudrad spiklav
Sotlav
Utter</t>
        </is>
      </c>
      <c r="W22">
        <f>HYPERLINK("https://klasma.github.io/Logging_0861/artfynd/S 3730-2023 artfynd.xlsx", "S 3730-2023")</f>
        <v/>
      </c>
      <c r="X22">
        <f>HYPERLINK("https://klasma.github.io/Logging_0861/kartor/S 3730-2023 karta.png", "S 3730-2023")</f>
        <v/>
      </c>
      <c r="Y22">
        <f>HYPERLINK("https://klasma.github.io/Logging_0861/kartor_geotiff/S 3730-2023 georefererad karta.tif", "S 3730-2023")</f>
        <v/>
      </c>
      <c r="AA22">
        <f>HYPERLINK("https://klasma.github.io/Logging_0861/klagomål/S 3730-2023 FSC-klagomål.docx", "S 3730-2023")</f>
        <v/>
      </c>
      <c r="AB22">
        <f>HYPERLINK("https://klasma.github.io/Logging_0861/klagomålsmail/S 3730-2023 FSC-klagomål mail.docx", "S 3730-2023")</f>
        <v/>
      </c>
      <c r="AC22">
        <f>HYPERLINK("https://klasma.github.io/Logging_0861/tillsyn/S 3730-2023 tillsynsbegäran.docx", "S 3730-2023")</f>
        <v/>
      </c>
      <c r="AD22">
        <f>HYPERLINK("https://klasma.github.io/Logging_0861/tillsynsmail/S 3730-2023 tillsynsbegäran mail.docx", "S 3730-2023")</f>
        <v/>
      </c>
    </row>
    <row r="23" ht="15" customHeight="1">
      <c r="A23" t="inlineStr">
        <is>
          <t>S 720-2026</t>
        </is>
      </c>
      <c r="B23" t="inlineStr">
        <is>
          <t>samrådsanmälan</t>
        </is>
      </c>
      <c r="C23" t="inlineStr">
        <is>
          <t>Askåterföring</t>
        </is>
      </c>
      <c r="D23" s="1" t="n">
        <v>46093</v>
      </c>
      <c r="E23" s="1" t="n">
        <v>46326</v>
      </c>
      <c r="F23" t="inlineStr">
        <is>
          <t>KALMAR LÄN</t>
        </is>
      </c>
      <c r="G23" t="inlineStr">
        <is>
          <t>MÖNSTERÅS</t>
        </is>
      </c>
      <c r="I23" t="n">
        <v>35.9</v>
      </c>
      <c r="J23" t="n">
        <v>5</v>
      </c>
      <c r="K23" t="n">
        <v>4</v>
      </c>
      <c r="L23" t="n">
        <v>3</v>
      </c>
      <c r="M23" t="n">
        <v>0</v>
      </c>
      <c r="N23" t="n">
        <v>0</v>
      </c>
      <c r="O23" t="n">
        <v>0</v>
      </c>
      <c r="P23" t="n">
        <v>0</v>
      </c>
      <c r="Q23" t="n">
        <v>3</v>
      </c>
      <c r="R23" t="n">
        <v>0</v>
      </c>
      <c r="S23" t="n">
        <v>10</v>
      </c>
      <c r="T23" t="n">
        <v>16</v>
      </c>
      <c r="U23" t="n">
        <v>0</v>
      </c>
      <c r="V23" s="2" t="inlineStr">
        <is>
          <t>Kattfotslav
Nordfladdermus
Talltita
Kornknutmossa
Murgröna
Stor revmossa
Stubbspretmossa
Spillkråka
Dvärgpipistrell
Revlummer</t>
        </is>
      </c>
      <c r="W23">
        <f>HYPERLINK("https://klasma.github.io/Logging_0861/artfynd/S 720-2026 artfynd.xlsx", "S 720-2026")</f>
        <v/>
      </c>
      <c r="X23">
        <f>HYPERLINK("https://klasma.github.io/Logging_0861/kartor/S 720-2026 karta.png", "S 720-2026")</f>
        <v/>
      </c>
      <c r="Y23">
        <f>HYPERLINK("https://klasma.github.io/Logging_0861/kartor_geotiff/S 720-2026 georefererad karta.tif", "S 720-2026")</f>
        <v/>
      </c>
      <c r="AA23">
        <f>HYPERLINK("https://klasma.github.io/Logging_0861/klagomål/S 720-2026 FSC-klagomål.docx", "S 720-2026")</f>
        <v/>
      </c>
      <c r="AB23">
        <f>HYPERLINK("https://klasma.github.io/Logging_0861/klagomålsmail/S 720-2026 FSC-klagomål mail.docx", "S 720-2026")</f>
        <v/>
      </c>
      <c r="AC23">
        <f>HYPERLINK("https://klasma.github.io/Logging_0861/tillsyn/S 720-2026 tillsynsbegäran.docx", "S 720-2026")</f>
        <v/>
      </c>
      <c r="AD23">
        <f>HYPERLINK("https://klasma.github.io/Logging_0861/tillsynsmail/S 720-2026 tillsynsbegäran mail.docx", "S 720-2026")</f>
        <v/>
      </c>
      <c r="AE23">
        <f>HYPERLINK("https://klasma.github.io/Logging_0861/fåglar/S 720-2026 prioriterade fågelarter.docx", "S 720-2026")</f>
        <v/>
      </c>
    </row>
    <row r="24" ht="15" customHeight="1">
      <c r="A24" t="inlineStr">
        <is>
          <t>A 7475-2023</t>
        </is>
      </c>
      <c r="B24" t="inlineStr">
        <is>
          <t>avverkningsanmälan</t>
        </is>
      </c>
      <c r="C24" t="inlineStr">
        <is>
          <t>Föryngringsavverkning</t>
        </is>
      </c>
      <c r="D24" s="1" t="n">
        <v>44971</v>
      </c>
      <c r="E24" s="1" t="n">
        <v>46326</v>
      </c>
      <c r="F24" t="inlineStr">
        <is>
          <t>KALMAR LÄN</t>
        </is>
      </c>
      <c r="G24" t="inlineStr">
        <is>
          <t>MÖNSTERÅS</t>
        </is>
      </c>
      <c r="I24" t="n">
        <v>3.3</v>
      </c>
      <c r="J24" t="n">
        <v>3</v>
      </c>
      <c r="K24" t="n">
        <v>3</v>
      </c>
      <c r="L24" t="n">
        <v>4</v>
      </c>
      <c r="M24" t="n">
        <v>1</v>
      </c>
      <c r="N24" t="n">
        <v>0</v>
      </c>
      <c r="O24" t="n">
        <v>0</v>
      </c>
      <c r="P24" t="n">
        <v>0</v>
      </c>
      <c r="Q24" t="n">
        <v>5</v>
      </c>
      <c r="R24" t="n">
        <v>1</v>
      </c>
      <c r="S24" t="n">
        <v>9</v>
      </c>
      <c r="T24" t="n">
        <v>44</v>
      </c>
      <c r="U24" t="n">
        <v>44</v>
      </c>
      <c r="V24" s="2" t="inlineStr">
        <is>
          <t>Knärot
Grönsångare
Rynkskinn
Tallticka
Ullticka
Blåmossa
Grovticka
Grönpyrola
Spillkråka</t>
        </is>
      </c>
      <c r="W24">
        <f>HYPERLINK("https://klasma.github.io/Logging_0861/artfynd/A 7475-2023 artfynd.xlsx", "A 7475-2023")</f>
        <v/>
      </c>
      <c r="X24">
        <f>HYPERLINK("https://klasma.github.io/Logging_0861/kartor/A 7475-2023 karta.png", "A 7475-2023")</f>
        <v/>
      </c>
      <c r="Y24">
        <f>HYPERLINK("https://klasma.github.io/Logging_0861/kartor_geotiff/A 7475-2023 georefererad karta.tif", "A 7475-2023")</f>
        <v/>
      </c>
      <c r="Z24">
        <f>HYPERLINK("https://klasma.github.io/Logging_0861/knärot/A 7475-2023 karta knärot.png", "A 7475-2023")</f>
        <v/>
      </c>
      <c r="AA24">
        <f>HYPERLINK("https://klasma.github.io/Logging_0861/klagomål/A 7475-2023 FSC-klagomål.docx", "A 7475-2023")</f>
        <v/>
      </c>
      <c r="AB24">
        <f>HYPERLINK("https://klasma.github.io/Logging_0861/klagomålsmail/A 7475-2023 FSC-klagomål mail.docx", "A 7475-2023")</f>
        <v/>
      </c>
      <c r="AC24">
        <f>HYPERLINK("https://klasma.github.io/Logging_0861/tillsyn/A 7475-2023 tillsynsbegäran.docx", "A 7475-2023")</f>
        <v/>
      </c>
      <c r="AD24">
        <f>HYPERLINK("https://klasma.github.io/Logging_0861/tillsynsmail/A 7475-2023 tillsynsbegäran mail.docx", "A 7475-2023")</f>
        <v/>
      </c>
      <c r="AE24">
        <f>HYPERLINK("https://klasma.github.io/Logging_0861/fåglar/A 7475-2023 prioriterade fågelarter.docx", "A 7475-2023")</f>
        <v/>
      </c>
    </row>
    <row r="25" ht="15" customHeight="1">
      <c r="A25" t="inlineStr">
        <is>
          <t>S 1302-2022</t>
        </is>
      </c>
      <c r="B25" t="inlineStr">
        <is>
          <t>samrådsanmälan</t>
        </is>
      </c>
      <c r="C25" t="inlineStr">
        <is>
          <t>Åtgärd i nyckelbiotop</t>
        </is>
      </c>
      <c r="D25" s="1" t="n">
        <v>44627</v>
      </c>
      <c r="E25" s="1" t="n">
        <v>46326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1302-2022 artfynd.xlsx", "S 1302-2022")</f>
        <v/>
      </c>
      <c r="X25">
        <f>HYPERLINK("https://klasma.github.io/Logging_0861/kartor/S 1302-2022 karta.png", "S 1302-2022")</f>
        <v/>
      </c>
      <c r="Y25">
        <f>HYPERLINK("https://klasma.github.io/Logging_0861/kartor_geotiff/S 1302-2022 georefererad karta.tif", "S 1302-2022")</f>
        <v/>
      </c>
      <c r="AA25">
        <f>HYPERLINK("https://klasma.github.io/Logging_0861/klagomål/S 1302-2022 FSC-klagomål.docx", "S 1302-2022")</f>
        <v/>
      </c>
      <c r="AB25">
        <f>HYPERLINK("https://klasma.github.io/Logging_0861/klagomålsmail/S 1302-2022 FSC-klagomål mail.docx", "S 1302-2022")</f>
        <v/>
      </c>
      <c r="AC25">
        <f>HYPERLINK("https://klasma.github.io/Logging_0861/tillsyn/S 1302-2022 tillsynsbegäran.docx", "S 1302-2022")</f>
        <v/>
      </c>
      <c r="AD25">
        <f>HYPERLINK("https://klasma.github.io/Logging_0861/tillsynsmail/S 1302-2022 tillsynsbegäran mail.docx", "S 1302-2022")</f>
        <v/>
      </c>
    </row>
    <row r="26" ht="15" customHeight="1">
      <c r="A26" t="inlineStr">
        <is>
          <t>S 1326-2024</t>
        </is>
      </c>
      <c r="B26" t="inlineStr">
        <is>
          <t>samrådsanmälan</t>
        </is>
      </c>
      <c r="C26" t="inlineStr">
        <is>
          <t>Annan skogsbruksåtgärd</t>
        </is>
      </c>
      <c r="D26" s="1" t="n">
        <v>45406</v>
      </c>
      <c r="E26" s="1" t="n">
        <v>46326</v>
      </c>
      <c r="F26" t="inlineStr">
        <is>
          <t>KALMAR LÄN</t>
        </is>
      </c>
      <c r="G26" t="inlineStr">
        <is>
          <t>MÖNSTERÅS</t>
        </is>
      </c>
      <c r="I26" t="n">
        <v>3.2</v>
      </c>
      <c r="J26" t="n">
        <v>5</v>
      </c>
      <c r="K26" t="n">
        <v>4</v>
      </c>
      <c r="L26" t="n">
        <v>1</v>
      </c>
      <c r="M26" t="n">
        <v>0</v>
      </c>
      <c r="N26" t="n">
        <v>0</v>
      </c>
      <c r="O26" t="n">
        <v>0</v>
      </c>
      <c r="P26" t="n">
        <v>0</v>
      </c>
      <c r="Q26" t="n">
        <v>1</v>
      </c>
      <c r="R26" t="n">
        <v>0</v>
      </c>
      <c r="S26" t="n">
        <v>9</v>
      </c>
      <c r="T26" t="n">
        <v>16</v>
      </c>
      <c r="U26" t="n">
        <v>0</v>
      </c>
      <c r="V26" s="2" t="inlineStr">
        <is>
          <t>Kattfotslav
Blåmossa
Grön sköldmossa
Rostfläck
Stubbspretmossa
Gröngöling
Kungsfågel
Skogsduva
Revlummer</t>
        </is>
      </c>
      <c r="W26">
        <f>HYPERLINK("https://klasma.github.io/Logging_0861/artfynd/S 1326-2024 artfynd.xlsx", "S 1326-2024")</f>
        <v/>
      </c>
      <c r="X26">
        <f>HYPERLINK("https://klasma.github.io/Logging_0861/kartor/S 1326-2024 karta.png", "S 1326-2024")</f>
        <v/>
      </c>
      <c r="Y26">
        <f>HYPERLINK("https://klasma.github.io/Logging_0861/kartor_geotiff/S 1326-2024 georefererad karta.tif", "S 1326-2024")</f>
        <v/>
      </c>
      <c r="AA26">
        <f>HYPERLINK("https://klasma.github.io/Logging_0861/klagomål/S 1326-2024 FSC-klagomål.docx", "S 1326-2024")</f>
        <v/>
      </c>
      <c r="AB26">
        <f>HYPERLINK("https://klasma.github.io/Logging_0861/klagomålsmail/S 1326-2024 FSC-klagomål mail.docx", "S 1326-2024")</f>
        <v/>
      </c>
      <c r="AC26">
        <f>HYPERLINK("https://klasma.github.io/Logging_0861/tillsyn/S 1326-2024 tillsynsbegäran.docx", "S 1326-2024")</f>
        <v/>
      </c>
      <c r="AD26">
        <f>HYPERLINK("https://klasma.github.io/Logging_0861/tillsynsmail/S 1326-2024 tillsynsbegäran mail.docx", "S 1326-2024")</f>
        <v/>
      </c>
    </row>
    <row r="27" ht="15" customHeight="1">
      <c r="A27" t="inlineStr">
        <is>
          <t>A 20013-2023</t>
        </is>
      </c>
      <c r="B27" t="inlineStr">
        <is>
          <t>avverkningsanmälan</t>
        </is>
      </c>
      <c r="C27" t="inlineStr">
        <is>
          <t>Föryngringsavverkning</t>
        </is>
      </c>
      <c r="D27" s="1" t="n">
        <v>45054</v>
      </c>
      <c r="E27" s="1" t="n">
        <v>46326</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A 36372-2023</t>
        </is>
      </c>
      <c r="B28" t="inlineStr">
        <is>
          <t>avverkningsanmälan</t>
        </is>
      </c>
      <c r="C28" t="inlineStr">
        <is>
          <t>Föryngringsavverkning</t>
        </is>
      </c>
      <c r="D28" s="1" t="n">
        <v>45152</v>
      </c>
      <c r="E28" s="1" t="n">
        <v>46326</v>
      </c>
      <c r="F28" t="inlineStr">
        <is>
          <t>KALMAR LÄN</t>
        </is>
      </c>
      <c r="G28" t="inlineStr">
        <is>
          <t>MÖNSTERÅS</t>
        </is>
      </c>
      <c r="H28" t="inlineStr">
        <is>
          <t>Kommuner</t>
        </is>
      </c>
      <c r="I28" t="n">
        <v>4.2</v>
      </c>
      <c r="J28" t="n">
        <v>2</v>
      </c>
      <c r="K28" t="n">
        <v>5</v>
      </c>
      <c r="L28" t="n">
        <v>1</v>
      </c>
      <c r="M28" t="n">
        <v>1</v>
      </c>
      <c r="N28" t="n">
        <v>0</v>
      </c>
      <c r="O28" t="n">
        <v>0</v>
      </c>
      <c r="P28" t="n">
        <v>0</v>
      </c>
      <c r="Q28" t="n">
        <v>2</v>
      </c>
      <c r="R28" t="n">
        <v>1</v>
      </c>
      <c r="S28" t="n">
        <v>8</v>
      </c>
      <c r="T28" t="n">
        <v>12</v>
      </c>
      <c r="U28" t="n">
        <v>12</v>
      </c>
      <c r="V28" s="2" t="inlineStr">
        <is>
          <t>Knärot
Tallticka
Björksplintborre
Blåmossa
Bronshjon
Sotlav
Thomsons trägnagare
Spillkråka</t>
        </is>
      </c>
      <c r="W28">
        <f>HYPERLINK("https://klasma.github.io/Logging_0861/artfynd/A 36372-2023 artfynd.xlsx", "A 36372-2023")</f>
        <v/>
      </c>
      <c r="X28">
        <f>HYPERLINK("https://klasma.github.io/Logging_0861/kartor/A 36372-2023 karta.png", "A 36372-2023")</f>
        <v/>
      </c>
      <c r="Y28">
        <f>HYPERLINK("https://klasma.github.io/Logging_0861/kartor_geotiff/A 36372-2023 georefererad karta.tif", "A 36372-2023")</f>
        <v/>
      </c>
      <c r="Z28">
        <f>HYPERLINK("https://klasma.github.io/Logging_0861/knärot/A 36372-2023 karta knärot.png", "A 36372-2023")</f>
        <v/>
      </c>
      <c r="AA28">
        <f>HYPERLINK("https://klasma.github.io/Logging_0861/klagomål/A 36372-2023 FSC-klagomål.docx", "A 36372-2023")</f>
        <v/>
      </c>
      <c r="AB28">
        <f>HYPERLINK("https://klasma.github.io/Logging_0861/klagomålsmail/A 36372-2023 FSC-klagomål mail.docx", "A 36372-2023")</f>
        <v/>
      </c>
      <c r="AC28">
        <f>HYPERLINK("https://klasma.github.io/Logging_0861/tillsyn/A 36372-2023 tillsynsbegäran.docx", "A 36372-2023")</f>
        <v/>
      </c>
      <c r="AD28">
        <f>HYPERLINK("https://klasma.github.io/Logging_0861/tillsynsmail/A 36372-2023 tillsynsbegäran mail.docx", "A 36372-2023")</f>
        <v/>
      </c>
      <c r="AE28">
        <f>HYPERLINK("https://klasma.github.io/Logging_0861/fåglar/A 36372-2023 prioriterade fågelarter.docx", "A 36372-2023")</f>
        <v/>
      </c>
    </row>
    <row r="29" ht="15" customHeight="1">
      <c r="A29" t="inlineStr">
        <is>
          <t>S 3522-2025</t>
        </is>
      </c>
      <c r="B29" t="inlineStr">
        <is>
          <t>samrådsanmälan</t>
        </is>
      </c>
      <c r="C29" t="inlineStr">
        <is>
          <t>Annan skogsbruksåtgärd</t>
        </is>
      </c>
      <c r="D29" s="1" t="n">
        <v>46008</v>
      </c>
      <c r="E29" s="1" t="n">
        <v>46326</v>
      </c>
      <c r="F29" t="inlineStr">
        <is>
          <t>KALMAR LÄN</t>
        </is>
      </c>
      <c r="G29" t="inlineStr">
        <is>
          <t>MÖNSTERÅS</t>
        </is>
      </c>
      <c r="I29" t="n">
        <v>2.4</v>
      </c>
      <c r="J29" t="n">
        <v>0</v>
      </c>
      <c r="K29" t="n">
        <v>3</v>
      </c>
      <c r="L29" t="n">
        <v>4</v>
      </c>
      <c r="M29" t="n">
        <v>1</v>
      </c>
      <c r="N29" t="n">
        <v>0</v>
      </c>
      <c r="O29" t="n">
        <v>0</v>
      </c>
      <c r="P29" t="n">
        <v>0</v>
      </c>
      <c r="Q29" t="n">
        <v>5</v>
      </c>
      <c r="R29" t="n">
        <v>1</v>
      </c>
      <c r="S29" t="n">
        <v>8</v>
      </c>
      <c r="T29" t="n">
        <v>9</v>
      </c>
      <c r="U29" t="n">
        <v>0</v>
      </c>
      <c r="V29" s="2" t="inlineStr">
        <is>
          <t>Notolaemus unifasciatus
Ekmulmbagge
Ekticka
Hjälmbrosklav
Manda mandibularis
Gulnål
Sotlav
Tvåfläckig praktbagge</t>
        </is>
      </c>
      <c r="W29">
        <f>HYPERLINK("https://klasma.github.io/Logging_0861/artfynd/S 3522-2025 artfynd.xlsx", "S 3522-2025")</f>
        <v/>
      </c>
      <c r="X29">
        <f>HYPERLINK("https://klasma.github.io/Logging_0861/kartor/S 3522-2025 karta.png", "S 3522-2025")</f>
        <v/>
      </c>
      <c r="Y29">
        <f>HYPERLINK("https://klasma.github.io/Logging_0861/kartor_geotiff/S 3522-2025 georefererad karta.tif", "S 3522-2025")</f>
        <v/>
      </c>
      <c r="AA29">
        <f>HYPERLINK("https://klasma.github.io/Logging_0861/klagomål/S 3522-2025 FSC-klagomål.docx", "S 3522-2025")</f>
        <v/>
      </c>
      <c r="AB29">
        <f>HYPERLINK("https://klasma.github.io/Logging_0861/klagomålsmail/S 3522-2025 FSC-klagomål mail.docx", "S 3522-2025")</f>
        <v/>
      </c>
      <c r="AC29">
        <f>HYPERLINK("https://klasma.github.io/Logging_0861/tillsyn/S 3522-2025 tillsynsbegäran.docx", "S 3522-2025")</f>
        <v/>
      </c>
      <c r="AD29">
        <f>HYPERLINK("https://klasma.github.io/Logging_0861/tillsynsmail/S 3522-2025 tillsynsbegäran mail.docx", "S 3522-2025")</f>
        <v/>
      </c>
    </row>
    <row r="30" ht="15" customHeight="1">
      <c r="A30" t="inlineStr">
        <is>
          <t>A 37983-2023</t>
        </is>
      </c>
      <c r="B30" t="inlineStr">
        <is>
          <t>avverkningsanmälan</t>
        </is>
      </c>
      <c r="C30" t="inlineStr">
        <is>
          <t>Föryngringsavverkning</t>
        </is>
      </c>
      <c r="D30" s="1" t="n">
        <v>45160</v>
      </c>
      <c r="E30" s="1" t="n">
        <v>46326</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46326</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16874-2026</t>
        </is>
      </c>
      <c r="B32" t="inlineStr">
        <is>
          <t>avverkningsanmälan</t>
        </is>
      </c>
      <c r="C32" t="inlineStr">
        <is>
          <t>Föryngringsavverkning</t>
        </is>
      </c>
      <c r="D32" s="1" t="n">
        <v>46113</v>
      </c>
      <c r="E32" s="1" t="n">
        <v>46326</v>
      </c>
      <c r="F32" t="inlineStr">
        <is>
          <t>KALMAR LÄN</t>
        </is>
      </c>
      <c r="G32" t="inlineStr">
        <is>
          <t>MÖNSTERÅS</t>
        </is>
      </c>
      <c r="H32" t="inlineStr">
        <is>
          <t>Kommuner</t>
        </is>
      </c>
      <c r="I32" t="n">
        <v>4.6</v>
      </c>
      <c r="J32" t="n">
        <v>3</v>
      </c>
      <c r="K32" t="n">
        <v>4</v>
      </c>
      <c r="L32" t="n">
        <v>1</v>
      </c>
      <c r="M32" t="n">
        <v>0</v>
      </c>
      <c r="N32" t="n">
        <v>0</v>
      </c>
      <c r="O32" t="n">
        <v>0</v>
      </c>
      <c r="P32" t="n">
        <v>0</v>
      </c>
      <c r="Q32" t="n">
        <v>1</v>
      </c>
      <c r="R32" t="n">
        <v>0</v>
      </c>
      <c r="S32" t="n">
        <v>7</v>
      </c>
      <c r="T32" t="n">
        <v>20</v>
      </c>
      <c r="U32" t="n">
        <v>20</v>
      </c>
      <c r="V32" s="2" t="inlineStr">
        <is>
          <t>Talltita
Björksplintborre
Blåmossa
Brandticka
Grovticka
Spillkråka
Tofsmes</t>
        </is>
      </c>
      <c r="W32">
        <f>HYPERLINK("https://klasma.github.io/Logging_0861/artfynd/A 16874-2026 artfynd.xlsx", "A 16874-2026")</f>
        <v/>
      </c>
      <c r="X32">
        <f>HYPERLINK("https://klasma.github.io/Logging_0861/kartor/A 16874-2026 karta.png", "A 16874-2026")</f>
        <v/>
      </c>
      <c r="Y32">
        <f>HYPERLINK("https://klasma.github.io/Logging_0861/kartor_geotiff/A 16874-2026 georefererad karta.tif", "A 16874-2026")</f>
        <v/>
      </c>
      <c r="AA32">
        <f>HYPERLINK("https://klasma.github.io/Logging_0861/klagomål/A 16874-2026 FSC-klagomål.docx", "A 16874-2026")</f>
        <v/>
      </c>
      <c r="AB32">
        <f>HYPERLINK("https://klasma.github.io/Logging_0861/klagomålsmail/A 16874-2026 FSC-klagomål mail.docx", "A 16874-2026")</f>
        <v/>
      </c>
      <c r="AC32">
        <f>HYPERLINK("https://klasma.github.io/Logging_0861/tillsyn/A 16874-2026 tillsynsbegäran.docx", "A 16874-2026")</f>
        <v/>
      </c>
      <c r="AD32">
        <f>HYPERLINK("https://klasma.github.io/Logging_0861/tillsynsmail/A 16874-2026 tillsynsbegäran mail.docx", "A 16874-2026")</f>
        <v/>
      </c>
      <c r="AE32">
        <f>HYPERLINK("https://klasma.github.io/Logging_0861/fåglar/A 16874-2026 prioriterade fågelarter.docx", "A 16874-2026")</f>
        <v/>
      </c>
    </row>
    <row r="33" ht="15" customHeight="1">
      <c r="A33" t="inlineStr">
        <is>
          <t>A 30089-2026</t>
        </is>
      </c>
      <c r="B33" t="inlineStr">
        <is>
          <t>avverkningsanmälan</t>
        </is>
      </c>
      <c r="C33" t="inlineStr">
        <is>
          <t>Föryngringsavverkning</t>
        </is>
      </c>
      <c r="D33" s="1" t="n">
        <v>46206</v>
      </c>
      <c r="E33" s="1" t="n">
        <v>46326</v>
      </c>
      <c r="F33" t="inlineStr">
        <is>
          <t>KALMAR LÄN</t>
        </is>
      </c>
      <c r="G33" t="inlineStr">
        <is>
          <t>MÖNSTERÅS</t>
        </is>
      </c>
      <c r="H33" t="inlineStr">
        <is>
          <t>Övriga Aktiebolag</t>
        </is>
      </c>
      <c r="I33" t="n">
        <v>5.8</v>
      </c>
      <c r="J33" t="n">
        <v>3</v>
      </c>
      <c r="K33" t="n">
        <v>2</v>
      </c>
      <c r="L33" t="n">
        <v>3</v>
      </c>
      <c r="M33" t="n">
        <v>0</v>
      </c>
      <c r="N33" t="n">
        <v>0</v>
      </c>
      <c r="O33" t="n">
        <v>0</v>
      </c>
      <c r="P33" t="n">
        <v>0</v>
      </c>
      <c r="Q33" t="n">
        <v>3</v>
      </c>
      <c r="R33" t="n">
        <v>0</v>
      </c>
      <c r="S33" t="n">
        <v>7</v>
      </c>
      <c r="T33" t="n">
        <v>20</v>
      </c>
      <c r="U33" t="n">
        <v>20</v>
      </c>
      <c r="V33" s="2" t="inlineStr">
        <is>
          <t>Tallticka
Talltita
Vedskivlav
Grovticka
Murgröna
Spillkråka
Tofsmes</t>
        </is>
      </c>
      <c r="W33">
        <f>HYPERLINK("https://klasma.github.io/Logging_0861/artfynd/A 30089-2026 artfynd.xlsx", "A 30089-2026")</f>
        <v/>
      </c>
      <c r="X33">
        <f>HYPERLINK("https://klasma.github.io/Logging_0861/kartor/A 30089-2026 karta.png", "A 30089-2026")</f>
        <v/>
      </c>
      <c r="Y33">
        <f>HYPERLINK("https://klasma.github.io/Logging_0861/kartor_geotiff/A 30089-2026 georefererad karta.tif", "A 30089-2026")</f>
        <v/>
      </c>
      <c r="AA33">
        <f>HYPERLINK("https://klasma.github.io/Logging_0861/klagomål/A 30089-2026 FSC-klagomål.docx", "A 30089-2026")</f>
        <v/>
      </c>
      <c r="AB33">
        <f>HYPERLINK("https://klasma.github.io/Logging_0861/klagomålsmail/A 30089-2026 FSC-klagomål mail.docx", "A 30089-2026")</f>
        <v/>
      </c>
      <c r="AC33">
        <f>HYPERLINK("https://klasma.github.io/Logging_0861/tillsyn/A 30089-2026 tillsynsbegäran.docx", "A 30089-2026")</f>
        <v/>
      </c>
      <c r="AD33">
        <f>HYPERLINK("https://klasma.github.io/Logging_0861/tillsynsmail/A 30089-2026 tillsynsbegäran mail.docx", "A 30089-2026")</f>
        <v/>
      </c>
      <c r="AE33">
        <f>HYPERLINK("https://klasma.github.io/Logging_0861/fåglar/A 30089-2026 prioriterade fågelarter.docx", "A 30089-2026")</f>
        <v/>
      </c>
    </row>
    <row r="34" ht="15" customHeight="1">
      <c r="A34" t="inlineStr">
        <is>
          <t>A 34081-2022</t>
        </is>
      </c>
      <c r="B34" t="inlineStr">
        <is>
          <t>avverkningsanmälan</t>
        </is>
      </c>
      <c r="C34" t="inlineStr">
        <is>
          <t>Föryngringsavverkning</t>
        </is>
      </c>
      <c r="D34" s="1" t="n">
        <v>44791</v>
      </c>
      <c r="E34" s="1" t="n">
        <v>46326</v>
      </c>
      <c r="F34" t="inlineStr">
        <is>
          <t>KALMAR LÄN</t>
        </is>
      </c>
      <c r="G34" t="inlineStr">
        <is>
          <t>MÖNSTERÅS</t>
        </is>
      </c>
      <c r="I34" t="n">
        <v>1.9</v>
      </c>
      <c r="J34" t="n">
        <v>6</v>
      </c>
      <c r="K34" t="n">
        <v>0</v>
      </c>
      <c r="L34" t="n">
        <v>2</v>
      </c>
      <c r="M34" t="n">
        <v>1</v>
      </c>
      <c r="N34" t="n">
        <v>0</v>
      </c>
      <c r="O34" t="n">
        <v>0</v>
      </c>
      <c r="P34" t="n">
        <v>0</v>
      </c>
      <c r="Q34" t="n">
        <v>3</v>
      </c>
      <c r="R34" t="n">
        <v>1</v>
      </c>
      <c r="S34" t="n">
        <v>6</v>
      </c>
      <c r="T34" t="n">
        <v>7</v>
      </c>
      <c r="U34" t="n">
        <v>2</v>
      </c>
      <c r="V34" s="2" t="inlineStr">
        <is>
          <t>Knärot
Barbastell
Nordfladdermus
Dvärgpipistrell
Större brunfladdermus
Trädlärka</t>
        </is>
      </c>
      <c r="W34">
        <f>HYPERLINK("https://klasma.github.io/Logging_0861/artfynd/A 34081-2022 artfynd.xlsx", "A 34081-2022")</f>
        <v/>
      </c>
      <c r="X34">
        <f>HYPERLINK("https://klasma.github.io/Logging_0861/kartor/A 34081-2022 karta.png", "A 34081-2022")</f>
        <v/>
      </c>
      <c r="Y34">
        <f>HYPERLINK("https://klasma.github.io/Logging_0861/kartor_geotiff/A 34081-2022 georefererad karta.tif", "A 34081-2022")</f>
        <v/>
      </c>
      <c r="Z34">
        <f>HYPERLINK("https://klasma.github.io/Logging_0861/knärot/A 34081-2022 karta knärot.png", "A 34081-2022")</f>
        <v/>
      </c>
      <c r="AA34">
        <f>HYPERLINK("https://klasma.github.io/Logging_0861/klagomål/A 34081-2022 FSC-klagomål.docx", "A 34081-2022")</f>
        <v/>
      </c>
      <c r="AB34">
        <f>HYPERLINK("https://klasma.github.io/Logging_0861/klagomålsmail/A 34081-2022 FSC-klagomål mail.docx", "A 34081-2022")</f>
        <v/>
      </c>
      <c r="AC34">
        <f>HYPERLINK("https://klasma.github.io/Logging_0861/tillsyn/A 34081-2022 tillsynsbegäran.docx", "A 34081-2022")</f>
        <v/>
      </c>
      <c r="AD34">
        <f>HYPERLINK("https://klasma.github.io/Logging_0861/tillsynsmail/A 34081-2022 tillsynsbegäran mail.docx", "A 34081-2022")</f>
        <v/>
      </c>
      <c r="AE34">
        <f>HYPERLINK("https://klasma.github.io/Logging_0861/fåglar/A 34081-2022 prioriterade fågelarter.docx", "A 34081-2022")</f>
        <v/>
      </c>
    </row>
    <row r="35" ht="15" customHeight="1">
      <c r="A35" t="inlineStr">
        <is>
          <t>A 10103-2022</t>
        </is>
      </c>
      <c r="B35" t="inlineStr">
        <is>
          <t>avverkningsanmälan</t>
        </is>
      </c>
      <c r="C35" t="inlineStr">
        <is>
          <t>Föryngringsavverkning</t>
        </is>
      </c>
      <c r="D35" s="1" t="n">
        <v>44621</v>
      </c>
      <c r="E35" s="1" t="n">
        <v>46326</v>
      </c>
      <c r="F35" t="inlineStr">
        <is>
          <t>KALMAR LÄN</t>
        </is>
      </c>
      <c r="G35" t="inlineStr">
        <is>
          <t>MÖNSTERÅS</t>
        </is>
      </c>
      <c r="I35" t="n">
        <v>1.5</v>
      </c>
      <c r="J35" t="n">
        <v>1</v>
      </c>
      <c r="K35" t="n">
        <v>3</v>
      </c>
      <c r="L35" t="n">
        <v>2</v>
      </c>
      <c r="M35" t="n">
        <v>0</v>
      </c>
      <c r="N35" t="n">
        <v>0</v>
      </c>
      <c r="O35" t="n">
        <v>0</v>
      </c>
      <c r="P35" t="n">
        <v>0</v>
      </c>
      <c r="Q35" t="n">
        <v>2</v>
      </c>
      <c r="R35" t="n">
        <v>0</v>
      </c>
      <c r="S35" t="n">
        <v>6</v>
      </c>
      <c r="T35" t="n">
        <v>6</v>
      </c>
      <c r="U35" t="n">
        <v>6</v>
      </c>
      <c r="V35" s="2" t="inlineStr">
        <is>
          <t>Jätteknäppare
Mindre träfjäril
Bronshjon
Gulröd blankbock
Trådticka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37143-2024</t>
        </is>
      </c>
      <c r="B36" t="inlineStr">
        <is>
          <t>avverkningsanmälan</t>
        </is>
      </c>
      <c r="C36" t="inlineStr">
        <is>
          <t>Föryngringsavverkning</t>
        </is>
      </c>
      <c r="D36" s="1" t="n">
        <v>45539</v>
      </c>
      <c r="E36" s="1" t="n">
        <v>46326</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31881-2023</t>
        </is>
      </c>
      <c r="B37" t="inlineStr">
        <is>
          <t>avverkningsanmälan</t>
        </is>
      </c>
      <c r="C37" t="inlineStr">
        <is>
          <t>Föryngringsavverkning</t>
        </is>
      </c>
      <c r="D37" s="1" t="n">
        <v>45106</v>
      </c>
      <c r="E37" s="1" t="n">
        <v>46326</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64870-2023</t>
        </is>
      </c>
      <c r="B38" t="inlineStr">
        <is>
          <t>avverkningsanmälan</t>
        </is>
      </c>
      <c r="C38" t="inlineStr">
        <is>
          <t>Föryngringsavverkning</t>
        </is>
      </c>
      <c r="D38" s="1" t="n">
        <v>45282</v>
      </c>
      <c r="E38" s="1" t="n">
        <v>46326</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46326</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46326</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46326</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46326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46326</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46326</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46326</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46326</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46326</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46326</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38522-2026</t>
        </is>
      </c>
      <c r="B49" t="inlineStr">
        <is>
          <t>avverkningsanmälan</t>
        </is>
      </c>
      <c r="C49" t="inlineStr">
        <is>
          <t>Avverkning för annat ändamål</t>
        </is>
      </c>
      <c r="D49" s="1" t="n">
        <v>46283</v>
      </c>
      <c r="E49" s="1" t="n">
        <v>46326</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46326</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46326</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46326</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46326</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34207-2022</t>
        </is>
      </c>
      <c r="B54" t="inlineStr">
        <is>
          <t>avverkningsanmälan</t>
        </is>
      </c>
      <c r="C54" t="inlineStr">
        <is>
          <t>Föryngringsavverkning</t>
        </is>
      </c>
      <c r="D54" s="1" t="n">
        <v>44791</v>
      </c>
      <c r="E54" s="1" t="n">
        <v>46326</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36129-2024</t>
        </is>
      </c>
      <c r="B55" t="inlineStr">
        <is>
          <t>avverkningsanmälan</t>
        </is>
      </c>
      <c r="C55" t="inlineStr">
        <is>
          <t>Föryngringsavverkning</t>
        </is>
      </c>
      <c r="D55" s="1" t="n">
        <v>45534</v>
      </c>
      <c r="E55" s="1" t="n">
        <v>46326</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46326</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46326</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46326</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24108-2024</t>
        </is>
      </c>
      <c r="B59" t="inlineStr">
        <is>
          <t>avverkningsanmälan</t>
        </is>
      </c>
      <c r="C59" t="inlineStr">
        <is>
          <t>Avverkning för att bevara och utveckla /försöksver</t>
        </is>
      </c>
      <c r="D59" s="1" t="n">
        <v>45456</v>
      </c>
      <c r="E59" s="1" t="n">
        <v>46326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46326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43826-2026</t>
        </is>
      </c>
      <c r="B61" t="inlineStr">
        <is>
          <t>avverkningsanmälan</t>
        </is>
      </c>
      <c r="C61" t="inlineStr">
        <is>
          <t>Föryngringsavverkning</t>
        </is>
      </c>
      <c r="D61" s="1" t="n">
        <v>46314</v>
      </c>
      <c r="E61" s="1" t="n">
        <v>46326</v>
      </c>
      <c r="F61" t="inlineStr">
        <is>
          <t>KALMAR LÄN</t>
        </is>
      </c>
      <c r="G61" t="inlineStr">
        <is>
          <t>MÖNSTERÅS</t>
        </is>
      </c>
      <c r="H61" t="inlineStr">
        <is>
          <t>Övriga Aktiebolag</t>
        </is>
      </c>
      <c r="I61" t="n">
        <v>4.9</v>
      </c>
      <c r="J61" t="n">
        <v>3</v>
      </c>
      <c r="K61" t="n">
        <v>0</v>
      </c>
      <c r="L61" t="n">
        <v>2</v>
      </c>
      <c r="M61" t="n">
        <v>0</v>
      </c>
      <c r="N61" t="n">
        <v>0</v>
      </c>
      <c r="O61" t="n">
        <v>0</v>
      </c>
      <c r="P61" t="n">
        <v>0</v>
      </c>
      <c r="Q61" t="n">
        <v>2</v>
      </c>
      <c r="R61" t="n">
        <v>0</v>
      </c>
      <c r="S61" t="n">
        <v>3</v>
      </c>
      <c r="T61" t="n">
        <v>9</v>
      </c>
      <c r="U61" t="n">
        <v>0</v>
      </c>
      <c r="V61" s="2" t="inlineStr">
        <is>
          <t>Nordfladdermus
Talltita
Nattskärra</t>
        </is>
      </c>
      <c r="W61">
        <f>HYPERLINK("https://klasma.github.io/Logging_0861/artfynd/A 43826-2026 artfynd.xlsx", "A 43826-2026")</f>
        <v/>
      </c>
      <c r="X61">
        <f>HYPERLINK("https://klasma.github.io/Logging_0861/kartor/A 43826-2026 karta.png", "A 43826-2026")</f>
        <v/>
      </c>
      <c r="Y61">
        <f>HYPERLINK("https://klasma.github.io/Logging_0861/kartor_geotiff/A 43826-2026 georefererad karta.tif", "A 43826-2026")</f>
        <v/>
      </c>
      <c r="AA61">
        <f>HYPERLINK("https://klasma.github.io/Logging_0861/klagomål/A 43826-2026 FSC-klagomål.docx", "A 43826-2026")</f>
        <v/>
      </c>
      <c r="AB61">
        <f>HYPERLINK("https://klasma.github.io/Logging_0861/klagomålsmail/A 43826-2026 FSC-klagomål mail.docx", "A 43826-2026")</f>
        <v/>
      </c>
      <c r="AC61">
        <f>HYPERLINK("https://klasma.github.io/Logging_0861/tillsyn/A 43826-2026 tillsynsbegäran.docx", "A 43826-2026")</f>
        <v/>
      </c>
      <c r="AD61">
        <f>HYPERLINK("https://klasma.github.io/Logging_0861/tillsynsmail/A 43826-2026 tillsynsbegäran mail.docx", "A 43826-2026")</f>
        <v/>
      </c>
      <c r="AE61">
        <f>HYPERLINK("https://klasma.github.io/Logging_0861/fåglar/A 43826-2026 prioriterade fågelarter.docx", "A 43826-2026")</f>
        <v/>
      </c>
    </row>
    <row r="62" ht="15" customHeight="1">
      <c r="A62" t="inlineStr">
        <is>
          <t>A 37498-2026</t>
        </is>
      </c>
      <c r="B62" t="inlineStr">
        <is>
          <t>avverkningsanmälan</t>
        </is>
      </c>
      <c r="C62" t="inlineStr">
        <is>
          <t>Föryngringsavverkning</t>
        </is>
      </c>
      <c r="D62" s="1" t="n">
        <v>46275</v>
      </c>
      <c r="E62" s="1" t="n">
        <v>46326</v>
      </c>
      <c r="F62" t="inlineStr">
        <is>
          <t>KALMAR LÄN</t>
        </is>
      </c>
      <c r="G62" t="inlineStr">
        <is>
          <t>MÖNSTERÅS</t>
        </is>
      </c>
      <c r="H62" t="inlineStr">
        <is>
          <t>Övriga Aktiebolag</t>
        </is>
      </c>
      <c r="I62" t="n">
        <v>4.2</v>
      </c>
      <c r="J62" t="n">
        <v>0</v>
      </c>
      <c r="K62" t="n">
        <v>1</v>
      </c>
      <c r="L62" t="n">
        <v>2</v>
      </c>
      <c r="M62" t="n">
        <v>0</v>
      </c>
      <c r="N62" t="n">
        <v>0</v>
      </c>
      <c r="O62" t="n">
        <v>0</v>
      </c>
      <c r="P62" t="n">
        <v>0</v>
      </c>
      <c r="Q62" t="n">
        <v>2</v>
      </c>
      <c r="R62" t="n">
        <v>0</v>
      </c>
      <c r="S62" t="n">
        <v>3</v>
      </c>
      <c r="T62" t="n">
        <v>5</v>
      </c>
      <c r="U62" t="n">
        <v>5</v>
      </c>
      <c r="V62" s="2" t="inlineStr">
        <is>
          <t>Vedflamlav
Vedskivlav
Kornknutmossa</t>
        </is>
      </c>
      <c r="W62">
        <f>HYPERLINK("https://klasma.github.io/Logging_0861/artfynd/A 37498-2026 artfynd.xlsx", "A 37498-2026")</f>
        <v/>
      </c>
      <c r="X62">
        <f>HYPERLINK("https://klasma.github.io/Logging_0861/kartor/A 37498-2026 karta.png", "A 37498-2026")</f>
        <v/>
      </c>
      <c r="Y62">
        <f>HYPERLINK("https://klasma.github.io/Logging_0861/kartor_geotiff/A 37498-2026 georefererad karta.tif", "A 37498-2026")</f>
        <v/>
      </c>
      <c r="AA62">
        <f>HYPERLINK("https://klasma.github.io/Logging_0861/klagomål/A 37498-2026 FSC-klagomål.docx", "A 37498-2026")</f>
        <v/>
      </c>
      <c r="AB62">
        <f>HYPERLINK("https://klasma.github.io/Logging_0861/klagomålsmail/A 37498-2026 FSC-klagomål mail.docx", "A 37498-2026")</f>
        <v/>
      </c>
      <c r="AC62">
        <f>HYPERLINK("https://klasma.github.io/Logging_0861/tillsyn/A 37498-2026 tillsynsbegäran.docx", "A 37498-2026")</f>
        <v/>
      </c>
      <c r="AD62">
        <f>HYPERLINK("https://klasma.github.io/Logging_0861/tillsynsmail/A 37498-2026 tillsynsbegäran mail.docx", "A 37498-2026")</f>
        <v/>
      </c>
    </row>
    <row r="63" ht="15" customHeight="1">
      <c r="A63" t="inlineStr">
        <is>
          <t>S 507-2023</t>
        </is>
      </c>
      <c r="B63" t="inlineStr">
        <is>
          <t>samrådsanmälan</t>
        </is>
      </c>
      <c r="C63" t="inlineStr">
        <is>
          <t>Askåterföring</t>
        </is>
      </c>
      <c r="D63" s="1" t="n">
        <v>44966</v>
      </c>
      <c r="E63" s="1" t="n">
        <v>46326</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46326</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46326</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31373-2025</t>
        </is>
      </c>
      <c r="B66" t="inlineStr">
        <is>
          <t>avverkningsanmälan</t>
        </is>
      </c>
      <c r="C66" t="inlineStr">
        <is>
          <t>Föryngringsavverkning</t>
        </is>
      </c>
      <c r="D66" s="1" t="n">
        <v>45833</v>
      </c>
      <c r="E66" s="1" t="n">
        <v>46326</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44001-2023</t>
        </is>
      </c>
      <c r="B67" t="inlineStr">
        <is>
          <t>avverkningsanmälan</t>
        </is>
      </c>
      <c r="C67" t="inlineStr">
        <is>
          <t>Föryngringsavverkning</t>
        </is>
      </c>
      <c r="D67" s="1" t="n">
        <v>45188</v>
      </c>
      <c r="E67" s="1" t="n">
        <v>46326</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t="n">
        <v>2</v>
      </c>
      <c r="V67" s="2" t="inlineStr">
        <is>
          <t>Grönpyrola
Kungsfågel</t>
        </is>
      </c>
      <c r="W67">
        <f>HYPERLINK("https://klasma.github.io/Logging_0861/artfynd/A 44001-2023 artfynd.xlsx", "A 44001-2023")</f>
        <v/>
      </c>
      <c r="X67">
        <f>HYPERLINK("https://klasma.github.io/Logging_0861/kartor/A 44001-2023 karta.png", "A 44001-2023")</f>
        <v/>
      </c>
      <c r="Y67">
        <f>HYPERLINK("https://klasma.github.io/Logging_0861/kartor_geotiff/A 44001-2023 georefererad karta.tif", "A 44001-2023")</f>
        <v/>
      </c>
      <c r="AA67">
        <f>HYPERLINK("https://klasma.github.io/Logging_0861/klagomål/A 44001-2023 FSC-klagomål.docx", "A 44001-2023")</f>
        <v/>
      </c>
      <c r="AB67">
        <f>HYPERLINK("https://klasma.github.io/Logging_0861/klagomålsmail/A 44001-2023 FSC-klagomål mail.docx", "A 44001-2023")</f>
        <v/>
      </c>
      <c r="AC67">
        <f>HYPERLINK("https://klasma.github.io/Logging_0861/tillsyn/A 44001-2023 tillsynsbegäran.docx", "A 44001-2023")</f>
        <v/>
      </c>
      <c r="AD67">
        <f>HYPERLINK("https://klasma.github.io/Logging_0861/tillsynsmail/A 44001-2023 tillsynsbegäran mail.docx", "A 44001-2023")</f>
        <v/>
      </c>
    </row>
    <row r="68" ht="15" customHeight="1">
      <c r="A68" t="inlineStr">
        <is>
          <t>A 26272-2023</t>
        </is>
      </c>
      <c r="B68" t="inlineStr">
        <is>
          <t>avverkningsanmälan</t>
        </is>
      </c>
      <c r="C68" t="inlineStr">
        <is>
          <t>Föryngringsavverkning</t>
        </is>
      </c>
      <c r="D68" s="1" t="n">
        <v>45091</v>
      </c>
      <c r="E68" s="1" t="n">
        <v>46326</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46326</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1973-2023</t>
        </is>
      </c>
      <c r="B70" t="inlineStr">
        <is>
          <t>avverkningsanmälan</t>
        </is>
      </c>
      <c r="C70" t="inlineStr">
        <is>
          <t>Föryngringsavverkning</t>
        </is>
      </c>
      <c r="D70" s="1" t="n">
        <v>44939</v>
      </c>
      <c r="E70" s="1" t="n">
        <v>46326</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46326</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22633-2026</t>
        </is>
      </c>
      <c r="B72" t="inlineStr">
        <is>
          <t>avverkningsanmälan</t>
        </is>
      </c>
      <c r="C72" t="inlineStr">
        <is>
          <t>Avverkning för att bevara och utveckla /försöksver</t>
        </is>
      </c>
      <c r="D72" s="1" t="n">
        <v>46155</v>
      </c>
      <c r="E72" s="1" t="n">
        <v>46326</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40995-2024</t>
        </is>
      </c>
      <c r="B73" t="inlineStr">
        <is>
          <t>avverkningsanmälan</t>
        </is>
      </c>
      <c r="C73" t="inlineStr">
        <is>
          <t>Föryngringsavverkning</t>
        </is>
      </c>
      <c r="D73" s="1" t="n">
        <v>45558</v>
      </c>
      <c r="E73" s="1" t="n">
        <v>46326</v>
      </c>
      <c r="F73" t="inlineStr">
        <is>
          <t>KALMAR LÄN</t>
        </is>
      </c>
      <c r="G73" t="inlineStr">
        <is>
          <t>MÖNSTERÅS</t>
        </is>
      </c>
      <c r="I73" t="n">
        <v>1.8</v>
      </c>
      <c r="J73" t="n">
        <v>1</v>
      </c>
      <c r="K73" t="n">
        <v>0</v>
      </c>
      <c r="L73" t="n">
        <v>1</v>
      </c>
      <c r="M73" t="n">
        <v>0</v>
      </c>
      <c r="N73" t="n">
        <v>0</v>
      </c>
      <c r="O73" t="n">
        <v>0</v>
      </c>
      <c r="P73" t="n">
        <v>0</v>
      </c>
      <c r="Q73" t="n">
        <v>1</v>
      </c>
      <c r="R73" t="n">
        <v>0</v>
      </c>
      <c r="S73" t="n">
        <v>2</v>
      </c>
      <c r="T73" t="n">
        <v>2</v>
      </c>
      <c r="U73" t="n">
        <v>2</v>
      </c>
      <c r="V73" s="2" t="inlineStr">
        <is>
          <t>Åkerkulla
Mattlummer</t>
        </is>
      </c>
      <c r="W73">
        <f>HYPERLINK("https://klasma.github.io/Logging_0861/artfynd/A 40995-2024 artfynd.xlsx", "A 40995-2024")</f>
        <v/>
      </c>
      <c r="X73">
        <f>HYPERLINK("https://klasma.github.io/Logging_0861/kartor/A 40995-2024 karta.png", "A 40995-2024")</f>
        <v/>
      </c>
      <c r="Y73">
        <f>HYPERLINK("https://klasma.github.io/Logging_0861/kartor_geotiff/A 40995-2024 georefererad karta.tif", "A 40995-2024")</f>
        <v/>
      </c>
      <c r="AA73">
        <f>HYPERLINK("https://klasma.github.io/Logging_0861/klagomål/A 40995-2024 FSC-klagomål.docx", "A 40995-2024")</f>
        <v/>
      </c>
      <c r="AB73">
        <f>HYPERLINK("https://klasma.github.io/Logging_0861/klagomålsmail/A 40995-2024 FSC-klagomål mail.docx", "A 40995-2024")</f>
        <v/>
      </c>
      <c r="AC73">
        <f>HYPERLINK("https://klasma.github.io/Logging_0861/tillsyn/A 40995-2024 tillsynsbegäran.docx", "A 40995-2024")</f>
        <v/>
      </c>
      <c r="AD73">
        <f>HYPERLINK("https://klasma.github.io/Logging_0861/tillsynsmail/A 40995-2024 tillsynsbegäran mail.docx", "A 40995-2024")</f>
        <v/>
      </c>
    </row>
    <row r="74" ht="15" customHeight="1">
      <c r="A74" t="inlineStr">
        <is>
          <t>A 36365-2024</t>
        </is>
      </c>
      <c r="B74" t="inlineStr">
        <is>
          <t>avverkningsanmälan</t>
        </is>
      </c>
      <c r="C74" t="inlineStr">
        <is>
          <t>Föryngringsavverkning</t>
        </is>
      </c>
      <c r="D74" s="1" t="n">
        <v>45534</v>
      </c>
      <c r="E74" s="1" t="n">
        <v>46326</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46326</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S 2086-2024</t>
        </is>
      </c>
      <c r="B76" t="inlineStr">
        <is>
          <t>samrådsanmälan</t>
        </is>
      </c>
      <c r="C76" t="inlineStr">
        <is>
          <t>Askåterföring</t>
        </is>
      </c>
      <c r="D76" s="1" t="n">
        <v>45453</v>
      </c>
      <c r="E76" s="1" t="n">
        <v>46326</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46326</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46326</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46326</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46326</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46326</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41879-2022</t>
        </is>
      </c>
      <c r="B82" t="inlineStr">
        <is>
          <t>avverkningsanmälan</t>
        </is>
      </c>
      <c r="C82" t="inlineStr">
        <is>
          <t>Föryngringsavverkning</t>
        </is>
      </c>
      <c r="D82" s="1" t="n">
        <v>44827</v>
      </c>
      <c r="E82" s="1" t="n">
        <v>46326</v>
      </c>
      <c r="F82" t="inlineStr">
        <is>
          <t>KALMAR LÄN</t>
        </is>
      </c>
      <c r="G82" t="inlineStr">
        <is>
          <t>MÖNSTERÅS</t>
        </is>
      </c>
      <c r="H82" t="inlineStr">
        <is>
          <t>Kyrkan</t>
        </is>
      </c>
      <c r="I82" t="n">
        <v>1</v>
      </c>
      <c r="J82" t="n">
        <v>0</v>
      </c>
      <c r="K82" t="n">
        <v>0</v>
      </c>
      <c r="L82" t="n">
        <v>1</v>
      </c>
      <c r="M82" t="n">
        <v>0</v>
      </c>
      <c r="N82" t="n">
        <v>0</v>
      </c>
      <c r="O82" t="n">
        <v>0</v>
      </c>
      <c r="P82" t="n">
        <v>0</v>
      </c>
      <c r="Q82" t="n">
        <v>1</v>
      </c>
      <c r="R82" t="n">
        <v>0</v>
      </c>
      <c r="S82" t="n">
        <v>1</v>
      </c>
      <c r="T82" t="n">
        <v>1</v>
      </c>
      <c r="U82" t="n">
        <v>1</v>
      </c>
      <c r="V82" s="2" t="inlineStr">
        <is>
          <t>Brunag</t>
        </is>
      </c>
      <c r="W82">
        <f>HYPERLINK("https://klasma.github.io/Logging_0861/artfynd/A 41879-2022 artfynd.xlsx", "A 41879-2022")</f>
        <v/>
      </c>
      <c r="X82">
        <f>HYPERLINK("https://klasma.github.io/Logging_0861/kartor/A 41879-2022 karta.png", "A 41879-2022")</f>
        <v/>
      </c>
      <c r="Y82">
        <f>HYPERLINK("https://klasma.github.io/Logging_0861/kartor_geotiff/A 41879-2022 georefererad karta.tif", "A 41879-2022")</f>
        <v/>
      </c>
      <c r="AA82">
        <f>HYPERLINK("https://klasma.github.io/Logging_0861/klagomål/A 41879-2022 FSC-klagomål.docx", "A 41879-2022")</f>
        <v/>
      </c>
      <c r="AB82">
        <f>HYPERLINK("https://klasma.github.io/Logging_0861/klagomålsmail/A 41879-2022 FSC-klagomål mail.docx", "A 41879-2022")</f>
        <v/>
      </c>
      <c r="AC82">
        <f>HYPERLINK("https://klasma.github.io/Logging_0861/tillsyn/A 41879-2022 tillsynsbegäran.docx", "A 41879-2022")</f>
        <v/>
      </c>
      <c r="AD82">
        <f>HYPERLINK("https://klasma.github.io/Logging_0861/tillsynsmail/A 41879-2022 tillsynsbegäran mail.docx", "A 41879-2022")</f>
        <v/>
      </c>
    </row>
    <row r="83" ht="15" customHeight="1">
      <c r="A83" t="inlineStr">
        <is>
          <t>A 54924-2022</t>
        </is>
      </c>
      <c r="B83" t="inlineStr">
        <is>
          <t>avverkningsanmälan</t>
        </is>
      </c>
      <c r="C83" t="inlineStr">
        <is>
          <t>Föryngringsavverkning</t>
        </is>
      </c>
      <c r="D83" s="1" t="n">
        <v>44886</v>
      </c>
      <c r="E83" s="1" t="n">
        <v>46326</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10155-2026</t>
        </is>
      </c>
      <c r="B84" t="inlineStr">
        <is>
          <t>avverkningsanmälan</t>
        </is>
      </c>
      <c r="C84" t="inlineStr">
        <is>
          <t>Föryngringsavverkning</t>
        </is>
      </c>
      <c r="D84" s="1" t="n">
        <v>46076</v>
      </c>
      <c r="E84" s="1" t="n">
        <v>46326</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53173-2022</t>
        </is>
      </c>
      <c r="B85" t="inlineStr">
        <is>
          <t>avverkningsanmälan</t>
        </is>
      </c>
      <c r="C85" t="inlineStr">
        <is>
          <t>Föryngringsavverkning</t>
        </is>
      </c>
      <c r="D85" s="1" t="n">
        <v>44876</v>
      </c>
      <c r="E85" s="1" t="n">
        <v>46326</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53173-2022 artfynd.xlsx", "A 53173-2022")</f>
        <v/>
      </c>
      <c r="X85">
        <f>HYPERLINK("https://klasma.github.io/Logging_0861/kartor/A 53173-2022 karta.png", "A 53173-2022")</f>
        <v/>
      </c>
      <c r="Y85">
        <f>HYPERLINK("https://klasma.github.io/Logging_0861/kartor_geotiff/A 53173-2022 georefererad karta.tif", "A 53173-2022")</f>
        <v/>
      </c>
      <c r="AA85">
        <f>HYPERLINK("https://klasma.github.io/Logging_0861/klagomål/A 53173-2022 FSC-klagomål.docx", "A 53173-2022")</f>
        <v/>
      </c>
      <c r="AB85">
        <f>HYPERLINK("https://klasma.github.io/Logging_0861/klagomålsmail/A 53173-2022 FSC-klagomål mail.docx", "A 53173-2022")</f>
        <v/>
      </c>
      <c r="AC85">
        <f>HYPERLINK("https://klasma.github.io/Logging_0861/tillsyn/A 53173-2022 tillsynsbegäran.docx", "A 53173-2022")</f>
        <v/>
      </c>
      <c r="AD85">
        <f>HYPERLINK("https://klasma.github.io/Logging_0861/tillsynsmail/A 53173-2022 tillsynsbegäran mail.docx", "A 53173-2022")</f>
        <v/>
      </c>
      <c r="AE85">
        <f>HYPERLINK("https://klasma.github.io/Logging_0861/fåglar/A 53173-2022 prioriterade fågelarter.docx", "A 53173-2022")</f>
        <v/>
      </c>
    </row>
    <row r="86" ht="15" customHeight="1">
      <c r="A86" t="inlineStr">
        <is>
          <t>A 25605-2024</t>
        </is>
      </c>
      <c r="B86" t="inlineStr">
        <is>
          <t>avverkningsanmälan</t>
        </is>
      </c>
      <c r="C86" t="inlineStr">
        <is>
          <t>Föryngringsavverkning</t>
        </is>
      </c>
      <c r="D86" s="1" t="n">
        <v>45463</v>
      </c>
      <c r="E86" s="1" t="n">
        <v>46326</v>
      </c>
      <c r="F86" t="inlineStr">
        <is>
          <t>KALMAR LÄN</t>
        </is>
      </c>
      <c r="G86" t="inlineStr">
        <is>
          <t>MÖNSTERÅS</t>
        </is>
      </c>
      <c r="I86" t="n">
        <v>1</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HYPERLINK("https://klasma.github.io/Logging_0861/artfynd/A 25605-2024 artfynd.xlsx", "A 25605-2024")</f>
        <v/>
      </c>
      <c r="X86">
        <f>HYPERLINK("https://klasma.github.io/Logging_0861/kartor/A 25605-2024 karta.png", "A 25605-2024")</f>
        <v/>
      </c>
      <c r="Y86">
        <f>HYPERLINK("https://klasma.github.io/Logging_0861/kartor_geotiff/A 25605-2024 georefererad karta.tif", "A 25605-2024")</f>
        <v/>
      </c>
      <c r="AA86">
        <f>HYPERLINK("https://klasma.github.io/Logging_0861/klagomål/A 25605-2024 FSC-klagomål.docx", "A 25605-2024")</f>
        <v/>
      </c>
      <c r="AB86">
        <f>HYPERLINK("https://klasma.github.io/Logging_0861/klagomålsmail/A 25605-2024 FSC-klagomål mail.docx", "A 25605-2024")</f>
        <v/>
      </c>
      <c r="AC86">
        <f>HYPERLINK("https://klasma.github.io/Logging_0861/tillsyn/A 25605-2024 tillsynsbegäran.docx", "A 25605-2024")</f>
        <v/>
      </c>
      <c r="AD86">
        <f>HYPERLINK("https://klasma.github.io/Logging_0861/tillsynsmail/A 25605-2024 tillsynsbegäran mail.docx", "A 25605-2024")</f>
        <v/>
      </c>
    </row>
    <row r="87" ht="15" customHeight="1">
      <c r="A87" t="inlineStr">
        <is>
          <t>A 25165-2023</t>
        </is>
      </c>
      <c r="B87" t="inlineStr">
        <is>
          <t>avverkningsanmälan</t>
        </is>
      </c>
      <c r="C87" t="inlineStr">
        <is>
          <t>Föryngringsavverkning</t>
        </is>
      </c>
      <c r="D87" s="1" t="n">
        <v>45086</v>
      </c>
      <c r="E87" s="1" t="n">
        <v>46326</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46326</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36886-2024</t>
        </is>
      </c>
      <c r="B89" t="inlineStr">
        <is>
          <t>avverkningsanmälan</t>
        </is>
      </c>
      <c r="C89" t="inlineStr">
        <is>
          <t>Föryngringsavverkning</t>
        </is>
      </c>
      <c r="D89" s="1" t="n">
        <v>45538</v>
      </c>
      <c r="E89" s="1" t="n">
        <v>46326</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46326</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41198-2023</t>
        </is>
      </c>
      <c r="B91" t="inlineStr">
        <is>
          <t>avverkningsanmälan</t>
        </is>
      </c>
      <c r="C91" t="inlineStr">
        <is>
          <t>Föryngringsavverkning</t>
        </is>
      </c>
      <c r="D91" s="1" t="n">
        <v>45174</v>
      </c>
      <c r="E91" s="1" t="n">
        <v>46326</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41665-2022</t>
        </is>
      </c>
      <c r="B92" t="inlineStr">
        <is>
          <t>avverkningsanmälan</t>
        </is>
      </c>
      <c r="C92" t="inlineStr">
        <is>
          <t>Avverkning för att bevara och utveckla /försöksver</t>
        </is>
      </c>
      <c r="D92" s="1" t="n">
        <v>44827</v>
      </c>
      <c r="E92" s="1" t="n">
        <v>46326</v>
      </c>
      <c r="F92" t="inlineStr">
        <is>
          <t>KALMAR LÄN</t>
        </is>
      </c>
      <c r="G92" t="inlineStr">
        <is>
          <t>MÖNSTERÅS</t>
        </is>
      </c>
      <c r="I92" t="n">
        <v>1.7</v>
      </c>
      <c r="J92" t="n">
        <v>0</v>
      </c>
      <c r="K92" t="n">
        <v>1</v>
      </c>
      <c r="L92" t="n">
        <v>0</v>
      </c>
      <c r="M92" t="n">
        <v>0</v>
      </c>
      <c r="N92" t="n">
        <v>0</v>
      </c>
      <c r="O92" t="n">
        <v>0</v>
      </c>
      <c r="P92" t="n">
        <v>0</v>
      </c>
      <c r="Q92" t="n">
        <v>0</v>
      </c>
      <c r="R92" t="n">
        <v>0</v>
      </c>
      <c r="S92" t="n">
        <v>1</v>
      </c>
      <c r="T92" t="n">
        <v>1</v>
      </c>
      <c r="U92" t="n">
        <v>0</v>
      </c>
      <c r="V92" s="2" t="inlineStr">
        <is>
          <t>Trubbfjädermossa</t>
        </is>
      </c>
      <c r="W92">
        <f>HYPERLINK("https://klasma.github.io/Logging_0861/artfynd/A 41665-2022 artfynd.xlsx", "A 41665-2022")</f>
        <v/>
      </c>
      <c r="X92">
        <f>HYPERLINK("https://klasma.github.io/Logging_0861/kartor/A 41665-2022 karta.png", "A 41665-2022")</f>
        <v/>
      </c>
      <c r="Y92">
        <f>HYPERLINK("https://klasma.github.io/Logging_0861/kartor_geotiff/A 41665-2022 georefererad karta.tif", "A 41665-2022")</f>
        <v/>
      </c>
      <c r="AA92">
        <f>HYPERLINK("https://klasma.github.io/Logging_0861/klagomål/A 41665-2022 FSC-klagomål.docx", "A 41665-2022")</f>
        <v/>
      </c>
      <c r="AB92">
        <f>HYPERLINK("https://klasma.github.io/Logging_0861/klagomålsmail/A 41665-2022 FSC-klagomål mail.docx", "A 41665-2022")</f>
        <v/>
      </c>
      <c r="AC92">
        <f>HYPERLINK("https://klasma.github.io/Logging_0861/tillsyn/A 41665-2022 tillsynsbegäran.docx", "A 41665-2022")</f>
        <v/>
      </c>
      <c r="AD92">
        <f>HYPERLINK("https://klasma.github.io/Logging_0861/tillsynsmail/A 41665-2022 tillsynsbegäran mail.docx", "A 41665-2022")</f>
        <v/>
      </c>
    </row>
    <row r="93" ht="15" customHeight="1">
      <c r="A93" t="inlineStr">
        <is>
          <t>A 26274-2023</t>
        </is>
      </c>
      <c r="B93" t="inlineStr">
        <is>
          <t>avverkningsanmälan</t>
        </is>
      </c>
      <c r="C93" t="inlineStr">
        <is>
          <t>Föryngringsavverkning</t>
        </is>
      </c>
      <c r="D93" s="1" t="n">
        <v>45091</v>
      </c>
      <c r="E93" s="1" t="n">
        <v>46326</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32372-2026</t>
        </is>
      </c>
      <c r="B94" t="inlineStr">
        <is>
          <t>avverkningsanmälan</t>
        </is>
      </c>
      <c r="C94" t="inlineStr">
        <is>
          <t>Föryngringsavverkning</t>
        </is>
      </c>
      <c r="D94" s="1" t="n">
        <v>46238</v>
      </c>
      <c r="E94" s="1" t="n">
        <v>46326</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20201-2024</t>
        </is>
      </c>
      <c r="B95" t="inlineStr">
        <is>
          <t>avverkningsanmälan</t>
        </is>
      </c>
      <c r="C95" t="inlineStr">
        <is>
          <t>Föryngringsavverkning</t>
        </is>
      </c>
      <c r="D95" s="1" t="n">
        <v>45434</v>
      </c>
      <c r="E95" s="1" t="n">
        <v>46326</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A 30097-2026</t>
        </is>
      </c>
      <c r="B96" t="inlineStr">
        <is>
          <t>avverkningsanmälan</t>
        </is>
      </c>
      <c r="C96" t="inlineStr">
        <is>
          <t>Föryngringsavverkning</t>
        </is>
      </c>
      <c r="D96" s="1" t="n">
        <v>46206</v>
      </c>
      <c r="E96" s="1" t="n">
        <v>46326</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44799-2026</t>
        </is>
      </c>
      <c r="B97" t="inlineStr">
        <is>
          <t>avverkningsanmälan</t>
        </is>
      </c>
      <c r="C97" t="inlineStr">
        <is>
          <t>Föryngringsavverkning</t>
        </is>
      </c>
      <c r="D97" s="1" t="n">
        <v>46318</v>
      </c>
      <c r="E97" s="1" t="n">
        <v>46326</v>
      </c>
      <c r="F97" t="inlineStr">
        <is>
          <t>KALMAR LÄN</t>
        </is>
      </c>
      <c r="G97" t="inlineStr">
        <is>
          <t>MÖNSTERÅS</t>
        </is>
      </c>
      <c r="I97" t="n">
        <v>11.1</v>
      </c>
      <c r="J97" t="n">
        <v>0</v>
      </c>
      <c r="K97" t="n">
        <v>1</v>
      </c>
      <c r="L97" t="n">
        <v>0</v>
      </c>
      <c r="M97" t="n">
        <v>0</v>
      </c>
      <c r="N97" t="n">
        <v>0</v>
      </c>
      <c r="O97" t="n">
        <v>0</v>
      </c>
      <c r="P97" t="n">
        <v>0</v>
      </c>
      <c r="Q97" t="n">
        <v>0</v>
      </c>
      <c r="R97" t="n">
        <v>0</v>
      </c>
      <c r="S97" t="n">
        <v>1</v>
      </c>
      <c r="T97" t="n">
        <v>1</v>
      </c>
      <c r="U97" t="n">
        <v>0</v>
      </c>
      <c r="V97" s="2" t="inlineStr">
        <is>
          <t>Blodvaxing</t>
        </is>
      </c>
      <c r="W97">
        <f>HYPERLINK("https://klasma.github.io/Logging_0861/artfynd/A 44799-2026 artfynd.xlsx", "A 44799-2026")</f>
        <v/>
      </c>
      <c r="X97">
        <f>HYPERLINK("https://klasma.github.io/Logging_0861/kartor/A 44799-2026 karta.png", "A 44799-2026")</f>
        <v/>
      </c>
      <c r="Y97">
        <f>HYPERLINK("https://klasma.github.io/Logging_0861/kartor_geotiff/A 44799-2026 georefererad karta.tif", "A 44799-2026")</f>
        <v/>
      </c>
      <c r="AA97">
        <f>HYPERLINK("https://klasma.github.io/Logging_0861/klagomål/A 44799-2026 FSC-klagomål.docx", "A 44799-2026")</f>
        <v/>
      </c>
      <c r="AB97">
        <f>HYPERLINK("https://klasma.github.io/Logging_0861/klagomålsmail/A 44799-2026 FSC-klagomål mail.docx", "A 44799-2026")</f>
        <v/>
      </c>
      <c r="AC97">
        <f>HYPERLINK("https://klasma.github.io/Logging_0861/tillsyn/A 44799-2026 tillsynsbegäran.docx", "A 44799-2026")</f>
        <v/>
      </c>
      <c r="AD97">
        <f>HYPERLINK("https://klasma.github.io/Logging_0861/tillsynsmail/A 44799-2026 tillsynsbegäran mail.docx", "A 44799-2026")</f>
        <v/>
      </c>
    </row>
    <row r="98" ht="15" customHeight="1">
      <c r="A98" t="inlineStr">
        <is>
          <t>S 3231-2024</t>
        </is>
      </c>
      <c r="B98" t="inlineStr">
        <is>
          <t>samrådsanmälan</t>
        </is>
      </c>
      <c r="C98" t="inlineStr">
        <is>
          <t>Askåterföring</t>
        </is>
      </c>
      <c r="D98" s="1" t="n">
        <v>45525</v>
      </c>
      <c r="E98" s="1" t="n">
        <v>46326</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46326</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46326</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46326</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46326</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46326</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46326</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46326</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46326</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46326</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50069-2022</t>
        </is>
      </c>
      <c r="B108" t="inlineStr">
        <is>
          <t>avverkningsanmälan</t>
        </is>
      </c>
      <c r="C108" t="inlineStr">
        <is>
          <t>Föryngringsavverkning</t>
        </is>
      </c>
      <c r="D108" s="1" t="n">
        <v>44865</v>
      </c>
      <c r="E108" s="1" t="n">
        <v>46326</v>
      </c>
      <c r="F108" t="inlineStr">
        <is>
          <t>KALMAR LÄN</t>
        </is>
      </c>
      <c r="G108" t="inlineStr">
        <is>
          <t>MÖNSTERÅS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46326</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46326</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46326</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46326</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46326</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46326</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46326</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46326</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46326</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46326</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46326</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46326</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46326</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46326</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46326</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46326</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46326</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46326</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46326</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46326</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46326</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46326</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70644-2021</t>
        </is>
      </c>
      <c r="B131" t="inlineStr">
        <is>
          <t>avverkningsanmälan</t>
        </is>
      </c>
      <c r="C131" t="inlineStr">
        <is>
          <t>Avverkning för annat ändamål</t>
        </is>
      </c>
      <c r="D131" s="1" t="n">
        <v>44537</v>
      </c>
      <c r="E131" s="1" t="n">
        <v>46326</v>
      </c>
      <c r="F131" t="inlineStr">
        <is>
          <t>KALMAR LÄN</t>
        </is>
      </c>
      <c r="G131" t="inlineStr">
        <is>
          <t>MÖNSTERÅS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31384-2023</t>
        </is>
      </c>
      <c r="B132" t="inlineStr">
        <is>
          <t>avverkningsanmälan</t>
        </is>
      </c>
      <c r="C132" t="inlineStr">
        <is>
          <t>Föryngringsavverkning</t>
        </is>
      </c>
      <c r="D132" s="1" t="n">
        <v>45114</v>
      </c>
      <c r="E132" s="1" t="n">
        <v>46326</v>
      </c>
      <c r="F132" t="inlineStr">
        <is>
          <t>KALMAR LÄN</t>
        </is>
      </c>
      <c r="G132" t="inlineStr">
        <is>
          <t>MÖNSTERÅS</t>
        </is>
      </c>
      <c r="H132" t="inlineStr">
        <is>
          <t>Kommuner</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24716-2022</t>
        </is>
      </c>
      <c r="B133" t="inlineStr">
        <is>
          <t>avverkningsanmälan</t>
        </is>
      </c>
      <c r="C133" t="inlineStr">
        <is>
          <t>Föryngringsavverkning</t>
        </is>
      </c>
      <c r="D133" s="1" t="n">
        <v>44727</v>
      </c>
      <c r="E133" s="1" t="n">
        <v>46326</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24488-2024</t>
        </is>
      </c>
      <c r="B134" t="inlineStr">
        <is>
          <t>avverkningsanmälan</t>
        </is>
      </c>
      <c r="C134" t="inlineStr">
        <is>
          <t>Föryngringsavverkning</t>
        </is>
      </c>
      <c r="D134" s="1" t="n">
        <v>45459</v>
      </c>
      <c r="E134" s="1" t="n">
        <v>46326</v>
      </c>
      <c r="F134" t="inlineStr">
        <is>
          <t>KALMAR LÄN</t>
        </is>
      </c>
      <c r="G134" t="inlineStr">
        <is>
          <t>MÖNSTERÅS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20498-2023</t>
        </is>
      </c>
      <c r="B135" t="inlineStr">
        <is>
          <t>avverkningsanmälan</t>
        </is>
      </c>
      <c r="C135" t="inlineStr">
        <is>
          <t>Föryngringsavverkning</t>
        </is>
      </c>
      <c r="D135" s="1" t="n">
        <v>45057</v>
      </c>
      <c r="E135" s="1" t="n">
        <v>46326</v>
      </c>
      <c r="F135" t="inlineStr">
        <is>
          <t>KALMAR LÄN</t>
        </is>
      </c>
      <c r="G135" t="inlineStr">
        <is>
          <t>MÖNSTERÅS</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38245-2023</t>
        </is>
      </c>
      <c r="B136" t="inlineStr">
        <is>
          <t>avverkningsanmälan</t>
        </is>
      </c>
      <c r="C136" t="inlineStr">
        <is>
          <t>Föryngringsavverkning</t>
        </is>
      </c>
      <c r="D136" s="1" t="n">
        <v>45161</v>
      </c>
      <c r="E136" s="1" t="n">
        <v>46326</v>
      </c>
      <c r="F136" t="inlineStr">
        <is>
          <t>KALMAR LÄN</t>
        </is>
      </c>
      <c r="G136" t="inlineStr">
        <is>
          <t>MÖNSTERÅS</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33658-2023</t>
        </is>
      </c>
      <c r="B137" t="inlineStr">
        <is>
          <t>avverkningsanmälan</t>
        </is>
      </c>
      <c r="C137" t="inlineStr">
        <is>
          <t>Föryngringsavverkning</t>
        </is>
      </c>
      <c r="D137" s="1" t="n">
        <v>45132</v>
      </c>
      <c r="E137" s="1" t="n">
        <v>46326</v>
      </c>
      <c r="F137" t="inlineStr">
        <is>
          <t>KALMAR LÄN</t>
        </is>
      </c>
      <c r="G137" t="inlineStr">
        <is>
          <t>MÖNSTERÅS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9545-2024</t>
        </is>
      </c>
      <c r="B138" t="inlineStr">
        <is>
          <t>avverkningsanmälan</t>
        </is>
      </c>
      <c r="C138" t="inlineStr">
        <is>
          <t>Föryngringsavverkning</t>
        </is>
      </c>
      <c r="D138" s="1" t="n">
        <v>45359</v>
      </c>
      <c r="E138" s="1" t="n">
        <v>46326</v>
      </c>
      <c r="F138" t="inlineStr">
        <is>
          <t>KALMAR LÄN</t>
        </is>
      </c>
      <c r="G138" t="inlineStr">
        <is>
          <t>MÖNSTERÅS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46326</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46326</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31757-2023</t>
        </is>
      </c>
      <c r="B141" t="inlineStr">
        <is>
          <t>avverkningsanmälan</t>
        </is>
      </c>
      <c r="C141" t="inlineStr">
        <is>
          <t>Föryngringsavverkning</t>
        </is>
      </c>
      <c r="D141" s="1" t="n">
        <v>45106</v>
      </c>
      <c r="E141" s="1" t="n">
        <v>46326</v>
      </c>
      <c r="F141" t="inlineStr">
        <is>
          <t>KALMAR LÄN</t>
        </is>
      </c>
      <c r="G141" t="inlineStr">
        <is>
          <t>MÖNSTERÅS</t>
        </is>
      </c>
      <c r="H141" t="inlineStr">
        <is>
          <t>Kyrkan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46326</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46326</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43746-2024</t>
        </is>
      </c>
      <c r="B144" t="inlineStr">
        <is>
          <t>avverkningsanmälan</t>
        </is>
      </c>
      <c r="C144" t="inlineStr">
        <is>
          <t>Föryngringsavverkning</t>
        </is>
      </c>
      <c r="D144" s="1" t="n">
        <v>45569</v>
      </c>
      <c r="E144" s="1" t="n">
        <v>46326</v>
      </c>
      <c r="F144" t="inlineStr">
        <is>
          <t>KALMAR LÄN</t>
        </is>
      </c>
      <c r="G144" t="inlineStr">
        <is>
          <t>MÖNSTERÅS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39860-2024</t>
        </is>
      </c>
      <c r="B145" t="inlineStr">
        <is>
          <t>avverkningsanmälan</t>
        </is>
      </c>
      <c r="C145" t="inlineStr">
        <is>
          <t>Föryngringsavverkning</t>
        </is>
      </c>
      <c r="D145" s="1" t="n">
        <v>45553</v>
      </c>
      <c r="E145" s="1" t="n">
        <v>46326</v>
      </c>
      <c r="F145" t="inlineStr">
        <is>
          <t>KALMAR LÄN</t>
        </is>
      </c>
      <c r="G145" t="inlineStr">
        <is>
          <t>MÖNSTERÅS</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46326</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46326</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46326</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46326</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46326</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46326</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52649-2022</t>
        </is>
      </c>
      <c r="B152" t="inlineStr">
        <is>
          <t>avverkningsanmälan</t>
        </is>
      </c>
      <c r="C152" t="inlineStr">
        <is>
          <t>Föryngringsavverkning</t>
        </is>
      </c>
      <c r="D152" s="1" t="n">
        <v>44874</v>
      </c>
      <c r="E152" s="1" t="n">
        <v>46326</v>
      </c>
      <c r="F152" t="inlineStr">
        <is>
          <t>KALMAR LÄN</t>
        </is>
      </c>
      <c r="G152" t="inlineStr">
        <is>
          <t>MÖNSTERÅS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10398-2023</t>
        </is>
      </c>
      <c r="B153" t="inlineStr">
        <is>
          <t>avverkningsanmälan</t>
        </is>
      </c>
      <c r="C153" t="inlineStr">
        <is>
          <t>Föryngringsavverkning</t>
        </is>
      </c>
      <c r="D153" s="1" t="n">
        <v>44981</v>
      </c>
      <c r="E153" s="1" t="n">
        <v>46326</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36286-2022</t>
        </is>
      </c>
      <c r="B154" t="inlineStr">
        <is>
          <t>avverkningsanmälan</t>
        </is>
      </c>
      <c r="C154" t="inlineStr">
        <is>
          <t>Föryngringsavverkning</t>
        </is>
      </c>
      <c r="D154" s="1" t="n">
        <v>44803</v>
      </c>
      <c r="E154" s="1" t="n">
        <v>46326</v>
      </c>
      <c r="F154" t="inlineStr">
        <is>
          <t>KALMAR LÄN</t>
        </is>
      </c>
      <c r="G154" t="inlineStr">
        <is>
          <t>MÖNSTERÅS</t>
        </is>
      </c>
      <c r="H154" t="inlineStr">
        <is>
          <t>Övriga Aktiebolag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46326</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46326</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6934-2025</t>
        </is>
      </c>
      <c r="B157" t="inlineStr">
        <is>
          <t>avverkningsanmälan</t>
        </is>
      </c>
      <c r="C157" t="inlineStr">
        <is>
          <t>Föryngringsavverkning</t>
        </is>
      </c>
      <c r="D157" s="1" t="n">
        <v>45701</v>
      </c>
      <c r="E157" s="1" t="n">
        <v>46326</v>
      </c>
      <c r="F157" t="inlineStr">
        <is>
          <t>KALMAR LÄN</t>
        </is>
      </c>
      <c r="G157" t="inlineStr">
        <is>
          <t>MÖNSTERÅS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21567-2024</t>
        </is>
      </c>
      <c r="B158" t="inlineStr">
        <is>
          <t>avverkningsanmälan</t>
        </is>
      </c>
      <c r="C158" t="inlineStr">
        <is>
          <t>Föryngringsavverkning</t>
        </is>
      </c>
      <c r="D158" s="1" t="n">
        <v>45441</v>
      </c>
      <c r="E158" s="1" t="n">
        <v>46326</v>
      </c>
      <c r="F158" t="inlineStr">
        <is>
          <t>KALMAR LÄN</t>
        </is>
      </c>
      <c r="G158" t="inlineStr">
        <is>
          <t>MÖNSTERÅS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26145-2025</t>
        </is>
      </c>
      <c r="B159" t="inlineStr">
        <is>
          <t>avverkningsanmälan</t>
        </is>
      </c>
      <c r="C159" t="inlineStr">
        <is>
          <t>Föryngringsavverkning</t>
        </is>
      </c>
      <c r="D159" s="1" t="n">
        <v>45805</v>
      </c>
      <c r="E159" s="1" t="n">
        <v>46326</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26157-2025</t>
        </is>
      </c>
      <c r="B160" t="inlineStr">
        <is>
          <t>avverkningsanmälan</t>
        </is>
      </c>
      <c r="C160" t="inlineStr">
        <is>
          <t>Föryngringsavverkning</t>
        </is>
      </c>
      <c r="D160" s="1" t="n">
        <v>45805</v>
      </c>
      <c r="E160" s="1" t="n">
        <v>46326</v>
      </c>
      <c r="F160" t="inlineStr">
        <is>
          <t>KALMAR LÄN</t>
        </is>
      </c>
      <c r="G160" t="inlineStr">
        <is>
          <t>MÖNSTERÅS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64514-2021</t>
        </is>
      </c>
      <c r="B161" t="inlineStr">
        <is>
          <t>avverkningsanmälan</t>
        </is>
      </c>
      <c r="C161" t="inlineStr">
        <is>
          <t>Föryngringsavverkning</t>
        </is>
      </c>
      <c r="D161" s="1" t="n">
        <v>44511</v>
      </c>
      <c r="E161" s="1" t="n">
        <v>46326</v>
      </c>
      <c r="F161" t="inlineStr">
        <is>
          <t>KALMAR LÄN</t>
        </is>
      </c>
      <c r="G161" t="inlineStr">
        <is>
          <t>MÖNSTERÅS</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62218-2022</t>
        </is>
      </c>
      <c r="B162" t="inlineStr">
        <is>
          <t>avverkningsanmälan</t>
        </is>
      </c>
      <c r="C162" t="inlineStr">
        <is>
          <t>Föryngringsavverkning</t>
        </is>
      </c>
      <c r="D162" s="1" t="n">
        <v>44922</v>
      </c>
      <c r="E162" s="1" t="n">
        <v>46326</v>
      </c>
      <c r="F162" t="inlineStr">
        <is>
          <t>KALMAR LÄN</t>
        </is>
      </c>
      <c r="G162" t="inlineStr">
        <is>
          <t>MÖNSTERÅS</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214-2023</t>
        </is>
      </c>
      <c r="B163" t="inlineStr">
        <is>
          <t>avverkningsanmälan</t>
        </is>
      </c>
      <c r="C163" t="inlineStr">
        <is>
          <t>Föryngringsavverkning</t>
        </is>
      </c>
      <c r="D163" s="1" t="n">
        <v>44928</v>
      </c>
      <c r="E163" s="1" t="n">
        <v>46326</v>
      </c>
      <c r="F163" t="inlineStr">
        <is>
          <t>KALMAR LÄN</t>
        </is>
      </c>
      <c r="G163" t="inlineStr">
        <is>
          <t>MÖNSTERÅS</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37096-2022</t>
        </is>
      </c>
      <c r="B164" t="inlineStr">
        <is>
          <t>avverkningsanmälan</t>
        </is>
      </c>
      <c r="C164" t="inlineStr">
        <is>
          <t>Föryngringsavverkning</t>
        </is>
      </c>
      <c r="D164" s="1" t="n">
        <v>44806</v>
      </c>
      <c r="E164" s="1" t="n">
        <v>46326</v>
      </c>
      <c r="F164" t="inlineStr">
        <is>
          <t>KALMAR LÄN</t>
        </is>
      </c>
      <c r="G164" t="inlineStr">
        <is>
          <t>MÖNSTERÅS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28380-2024</t>
        </is>
      </c>
      <c r="B165" t="inlineStr">
        <is>
          <t>avverkningsanmälan</t>
        </is>
      </c>
      <c r="C165" t="inlineStr">
        <is>
          <t>Föryngringsavverkning</t>
        </is>
      </c>
      <c r="D165" s="1" t="n">
        <v>45477</v>
      </c>
      <c r="E165" s="1" t="n">
        <v>46326</v>
      </c>
      <c r="F165" t="inlineStr">
        <is>
          <t>KALMAR LÄN</t>
        </is>
      </c>
      <c r="G165" t="inlineStr">
        <is>
          <t>MÖNSTERÅS</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38471-2023</t>
        </is>
      </c>
      <c r="B166" t="inlineStr">
        <is>
          <t>avverkningsanmälan</t>
        </is>
      </c>
      <c r="C166" t="inlineStr">
        <is>
          <t>Föryngringsavverkning</t>
        </is>
      </c>
      <c r="D166" s="1" t="n">
        <v>45162</v>
      </c>
      <c r="E166" s="1" t="n">
        <v>46326</v>
      </c>
      <c r="F166" t="inlineStr">
        <is>
          <t>KALMAR LÄN</t>
        </is>
      </c>
      <c r="G166" t="inlineStr">
        <is>
          <t>MÖNSTERÅS</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39212-2022</t>
        </is>
      </c>
      <c r="B167" t="inlineStr">
        <is>
          <t>avverkningsanmälan</t>
        </is>
      </c>
      <c r="C167" t="inlineStr">
        <is>
          <t>Föryngringsavverkning</t>
        </is>
      </c>
      <c r="D167" s="1" t="n">
        <v>44817</v>
      </c>
      <c r="E167" s="1" t="n">
        <v>46326</v>
      </c>
      <c r="F167" t="inlineStr">
        <is>
          <t>KALMAR LÄN</t>
        </is>
      </c>
      <c r="G167" t="inlineStr">
        <is>
          <t>MÖNSTERÅS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8113-2023</t>
        </is>
      </c>
      <c r="B168" t="inlineStr">
        <is>
          <t>avverkningsanmälan</t>
        </is>
      </c>
      <c r="C168" t="inlineStr">
        <is>
          <t>Föryngringsavverkning</t>
        </is>
      </c>
      <c r="D168" s="1" t="n">
        <v>44974</v>
      </c>
      <c r="E168" s="1" t="n">
        <v>46326</v>
      </c>
      <c r="F168" t="inlineStr">
        <is>
          <t>KALMAR LÄN</t>
        </is>
      </c>
      <c r="G168" t="inlineStr">
        <is>
          <t>MÖNSTERÅS</t>
        </is>
      </c>
      <c r="H168" t="inlineStr">
        <is>
          <t>Övriga Aktiebolag</t>
        </is>
      </c>
      <c r="I168" t="n">
        <v>8.5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3780-2026</t>
        </is>
      </c>
      <c r="B169" t="inlineStr">
        <is>
          <t>avverkningsanmälan</t>
        </is>
      </c>
      <c r="C169" t="inlineStr">
        <is>
          <t>Föryngringsavverkning</t>
        </is>
      </c>
      <c r="D169" s="1" t="n">
        <v>46043</v>
      </c>
      <c r="E169" s="1" t="n">
        <v>46326</v>
      </c>
      <c r="F169" t="inlineStr">
        <is>
          <t>KALMAR LÄN</t>
        </is>
      </c>
      <c r="G169" t="inlineStr">
        <is>
          <t>MÖNSTERÅS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14936-2023</t>
        </is>
      </c>
      <c r="B170" t="inlineStr">
        <is>
          <t>avverkningsanmälan</t>
        </is>
      </c>
      <c r="C170" t="inlineStr">
        <is>
          <t>Föryngringsavverkning</t>
        </is>
      </c>
      <c r="D170" s="1" t="n">
        <v>45015</v>
      </c>
      <c r="E170" s="1" t="n">
        <v>46326</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58980-2025</t>
        </is>
      </c>
      <c r="B171" t="inlineStr">
        <is>
          <t>avverkningsanmälan</t>
        </is>
      </c>
      <c r="C171" t="inlineStr">
        <is>
          <t>Avverkning för annat ändamål</t>
        </is>
      </c>
      <c r="D171" s="1" t="n">
        <v>45987</v>
      </c>
      <c r="E171" s="1" t="n">
        <v>46326</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3789-2026</t>
        </is>
      </c>
      <c r="B172" t="inlineStr">
        <is>
          <t>avverkningsanmälan</t>
        </is>
      </c>
      <c r="C172" t="inlineStr">
        <is>
          <t>Föryngringsavverkning</t>
        </is>
      </c>
      <c r="D172" s="1" t="n">
        <v>46043</v>
      </c>
      <c r="E172" s="1" t="n">
        <v>46326</v>
      </c>
      <c r="F172" t="inlineStr">
        <is>
          <t>KALMAR LÄN</t>
        </is>
      </c>
      <c r="G172" t="inlineStr">
        <is>
          <t>MÖNSTERÅS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41880-2025</t>
        </is>
      </c>
      <c r="B173" t="inlineStr">
        <is>
          <t>avverkningsanmälan</t>
        </is>
      </c>
      <c r="C173" t="inlineStr">
        <is>
          <t>Föryngringsavverkning</t>
        </is>
      </c>
      <c r="D173" s="1" t="n">
        <v>45903</v>
      </c>
      <c r="E173" s="1" t="n">
        <v>46326</v>
      </c>
      <c r="F173" t="inlineStr">
        <is>
          <t>KALMAR LÄN</t>
        </is>
      </c>
      <c r="G173" t="inlineStr">
        <is>
          <t>MÖNSTERÅS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42145-2025</t>
        </is>
      </c>
      <c r="B174" t="inlineStr">
        <is>
          <t>avverkningsanmälan</t>
        </is>
      </c>
      <c r="C174" t="inlineStr">
        <is>
          <t>Föryngringsavverkning</t>
        </is>
      </c>
      <c r="D174" s="1" t="n">
        <v>45904</v>
      </c>
      <c r="E174" s="1" t="n">
        <v>46326</v>
      </c>
      <c r="F174" t="inlineStr">
        <is>
          <t>KALMAR LÄN</t>
        </is>
      </c>
      <c r="G174" t="inlineStr">
        <is>
          <t>MÖNSTERÅS</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13902-2023</t>
        </is>
      </c>
      <c r="B175" t="inlineStr">
        <is>
          <t>avverkningsanmälan</t>
        </is>
      </c>
      <c r="C175" t="inlineStr">
        <is>
          <t>Föryngringsavverkning</t>
        </is>
      </c>
      <c r="D175" s="1" t="n">
        <v>45008</v>
      </c>
      <c r="E175" s="1" t="n">
        <v>46326</v>
      </c>
      <c r="F175" t="inlineStr">
        <is>
          <t>KALMAR LÄN</t>
        </is>
      </c>
      <c r="G175" t="inlineStr">
        <is>
          <t>MÖNSTERÅS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27629-2023</t>
        </is>
      </c>
      <c r="B176" t="inlineStr">
        <is>
          <t>avverkningsanmälan</t>
        </is>
      </c>
      <c r="C176" t="inlineStr">
        <is>
          <t>Föryngringsavverkning</t>
        </is>
      </c>
      <c r="D176" s="1" t="n">
        <v>45097</v>
      </c>
      <c r="E176" s="1" t="n">
        <v>46326</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63469-2023</t>
        </is>
      </c>
      <c r="B177" t="inlineStr">
        <is>
          <t>avverkningsanmälan</t>
        </is>
      </c>
      <c r="C177" t="inlineStr">
        <is>
          <t>Föryngringsavverkning</t>
        </is>
      </c>
      <c r="D177" s="1" t="n">
        <v>45274</v>
      </c>
      <c r="E177" s="1" t="n">
        <v>46326</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33111-2025</t>
        </is>
      </c>
      <c r="B178" t="inlineStr">
        <is>
          <t>avverkningsanmälan</t>
        </is>
      </c>
      <c r="C178" t="inlineStr">
        <is>
          <t>Föryngringsavverkning</t>
        </is>
      </c>
      <c r="D178" s="1" t="n">
        <v>45840</v>
      </c>
      <c r="E178" s="1" t="n">
        <v>46326</v>
      </c>
      <c r="F178" t="inlineStr">
        <is>
          <t>KALMAR LÄN</t>
        </is>
      </c>
      <c r="G178" t="inlineStr">
        <is>
          <t>MÖNSTERÅS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38579-2022</t>
        </is>
      </c>
      <c r="B179" t="inlineStr">
        <is>
          <t>avverkningsanmälan</t>
        </is>
      </c>
      <c r="C179" t="inlineStr">
        <is>
          <t>Föryngringsavverkning</t>
        </is>
      </c>
      <c r="D179" s="1" t="n">
        <v>44813</v>
      </c>
      <c r="E179" s="1" t="n">
        <v>46326</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46326</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22393-2025</t>
        </is>
      </c>
      <c r="B181" t="inlineStr">
        <is>
          <t>avverkningsanmälan</t>
        </is>
      </c>
      <c r="C181" t="inlineStr">
        <is>
          <t>Föryngringsavverkning</t>
        </is>
      </c>
      <c r="D181" s="1" t="n">
        <v>45786</v>
      </c>
      <c r="E181" s="1" t="n">
        <v>46326</v>
      </c>
      <c r="F181" t="inlineStr">
        <is>
          <t>KALMAR LÄN</t>
        </is>
      </c>
      <c r="G181" t="inlineStr">
        <is>
          <t>MÖNSTERÅS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10111-2024</t>
        </is>
      </c>
      <c r="B182" t="inlineStr">
        <is>
          <t>avverkningsanmälan</t>
        </is>
      </c>
      <c r="C182" t="inlineStr">
        <is>
          <t>Avverkning för annat ändamål</t>
        </is>
      </c>
      <c r="D182" s="1" t="n">
        <v>45364</v>
      </c>
      <c r="E182" s="1" t="n">
        <v>46326</v>
      </c>
      <c r="F182" t="inlineStr">
        <is>
          <t>KALMAR LÄN</t>
        </is>
      </c>
      <c r="G182" t="inlineStr">
        <is>
          <t>MÖNSTERÅS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27610-2023</t>
        </is>
      </c>
      <c r="B183" t="inlineStr">
        <is>
          <t>avverkningsanmälan</t>
        </is>
      </c>
      <c r="C183" t="inlineStr">
        <is>
          <t>Föryngringsavverkning</t>
        </is>
      </c>
      <c r="D183" s="1" t="n">
        <v>45097</v>
      </c>
      <c r="E183" s="1" t="n">
        <v>46326</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5397-2026</t>
        </is>
      </c>
      <c r="B184" t="inlineStr">
        <is>
          <t>avverkningsanmälan</t>
        </is>
      </c>
      <c r="C184" t="inlineStr">
        <is>
          <t>Föryngringsavverkning</t>
        </is>
      </c>
      <c r="D184" s="1" t="n">
        <v>46050</v>
      </c>
      <c r="E184" s="1" t="n">
        <v>46326</v>
      </c>
      <c r="F184" t="inlineStr">
        <is>
          <t>KALMAR LÄN</t>
        </is>
      </c>
      <c r="G184" t="inlineStr">
        <is>
          <t>MÖNSTERÅS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39262-2022</t>
        </is>
      </c>
      <c r="B185" t="inlineStr">
        <is>
          <t>avverkningsanmälan</t>
        </is>
      </c>
      <c r="C185" t="inlineStr">
        <is>
          <t>Föryngringsavverkning</t>
        </is>
      </c>
      <c r="D185" s="1" t="n">
        <v>44817</v>
      </c>
      <c r="E185" s="1" t="n">
        <v>46326</v>
      </c>
      <c r="F185" t="inlineStr">
        <is>
          <t>KALMAR LÄN</t>
        </is>
      </c>
      <c r="G185" t="inlineStr">
        <is>
          <t>MÖNSTERÅS</t>
        </is>
      </c>
      <c r="H185" t="inlineStr">
        <is>
          <t>Kommuner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12461-2022</t>
        </is>
      </c>
      <c r="B186" t="inlineStr">
        <is>
          <t>avverkningsanmälan</t>
        </is>
      </c>
      <c r="C186" t="inlineStr">
        <is>
          <t>Föryngringsavverkning</t>
        </is>
      </c>
      <c r="D186" s="1" t="n">
        <v>44638</v>
      </c>
      <c r="E186" s="1" t="n">
        <v>46326</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63454-2023</t>
        </is>
      </c>
      <c r="B187" t="inlineStr">
        <is>
          <t>avverkningsanmälan</t>
        </is>
      </c>
      <c r="C187" t="inlineStr">
        <is>
          <t>Föryngringsavverkning</t>
        </is>
      </c>
      <c r="D187" s="1" t="n">
        <v>45274</v>
      </c>
      <c r="E187" s="1" t="n">
        <v>46326</v>
      </c>
      <c r="F187" t="inlineStr">
        <is>
          <t>KALMAR LÄN</t>
        </is>
      </c>
      <c r="G187" t="inlineStr">
        <is>
          <t>MÖNSTERÅS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37298-2025</t>
        </is>
      </c>
      <c r="B188" t="inlineStr">
        <is>
          <t>avverkningsanmälan</t>
        </is>
      </c>
      <c r="C188" t="inlineStr">
        <is>
          <t>Föryngringsavverkning</t>
        </is>
      </c>
      <c r="D188" s="1" t="n">
        <v>45876</v>
      </c>
      <c r="E188" s="1" t="n">
        <v>46326</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61874-2022</t>
        </is>
      </c>
      <c r="B189" t="inlineStr">
        <is>
          <t>avverkningsanmälan</t>
        </is>
      </c>
      <c r="C189" t="inlineStr">
        <is>
          <t>Föryngringsavverkning</t>
        </is>
      </c>
      <c r="D189" s="1" t="n">
        <v>44917</v>
      </c>
      <c r="E189" s="1" t="n">
        <v>46326</v>
      </c>
      <c r="F189" t="inlineStr">
        <is>
          <t>KALMAR LÄN</t>
        </is>
      </c>
      <c r="G189" t="inlineStr">
        <is>
          <t>MÖNSTERÅS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26279-2023</t>
        </is>
      </c>
      <c r="B190" t="inlineStr">
        <is>
          <t>avverkningsanmälan</t>
        </is>
      </c>
      <c r="C190" t="inlineStr">
        <is>
          <t>Föryngringsavverkning</t>
        </is>
      </c>
      <c r="D190" s="1" t="n">
        <v>45091</v>
      </c>
      <c r="E190" s="1" t="n">
        <v>46326</v>
      </c>
      <c r="F190" t="inlineStr">
        <is>
          <t>KALMAR LÄN</t>
        </is>
      </c>
      <c r="G190" t="inlineStr">
        <is>
          <t>MÖNSTERÅS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50071-2022</t>
        </is>
      </c>
      <c r="B191" t="inlineStr">
        <is>
          <t>avverkningsanmälan</t>
        </is>
      </c>
      <c r="C191" t="inlineStr">
        <is>
          <t>Föryngringsavverkning</t>
        </is>
      </c>
      <c r="D191" s="1" t="n">
        <v>44865</v>
      </c>
      <c r="E191" s="1" t="n">
        <v>46326</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54022-2025</t>
        </is>
      </c>
      <c r="B192" t="inlineStr">
        <is>
          <t>avverkningsanmälan</t>
        </is>
      </c>
      <c r="C192" t="inlineStr">
        <is>
          <t>Föryngringsavverkning</t>
        </is>
      </c>
      <c r="D192" s="1" t="n">
        <v>45961</v>
      </c>
      <c r="E192" s="1" t="n">
        <v>46326</v>
      </c>
      <c r="F192" t="inlineStr">
        <is>
          <t>KALMAR LÄN</t>
        </is>
      </c>
      <c r="G192" t="inlineStr">
        <is>
          <t>MÖNSTERÅS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10710-2026</t>
        </is>
      </c>
      <c r="B193" t="inlineStr">
        <is>
          <t>avverkningsanmälan</t>
        </is>
      </c>
      <c r="C193" t="inlineStr">
        <is>
          <t>Föryngringsavverkning</t>
        </is>
      </c>
      <c r="D193" s="1" t="n">
        <v>46078</v>
      </c>
      <c r="E193" s="1" t="n">
        <v>46326</v>
      </c>
      <c r="F193" t="inlineStr">
        <is>
          <t>KALMAR LÄN</t>
        </is>
      </c>
      <c r="G193" t="inlineStr">
        <is>
          <t>MÖNSTERÅS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46326</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7637-2023</t>
        </is>
      </c>
      <c r="B195" t="inlineStr">
        <is>
          <t>avverkningsanmälan</t>
        </is>
      </c>
      <c r="C195" t="inlineStr">
        <is>
          <t>Föryngringsavverkning</t>
        </is>
      </c>
      <c r="D195" s="1" t="n">
        <v>44972</v>
      </c>
      <c r="E195" s="1" t="n">
        <v>46326</v>
      </c>
      <c r="F195" t="inlineStr">
        <is>
          <t>KALMAR LÄN</t>
        </is>
      </c>
      <c r="G195" t="inlineStr">
        <is>
          <t>MÖNSTERÅS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10934-2023</t>
        </is>
      </c>
      <c r="B196" t="inlineStr">
        <is>
          <t>avverkningsanmälan</t>
        </is>
      </c>
      <c r="C196" t="inlineStr">
        <is>
          <t>Föryngringsavverkning</t>
        </is>
      </c>
      <c r="D196" s="1" t="n">
        <v>44991</v>
      </c>
      <c r="E196" s="1" t="n">
        <v>46326</v>
      </c>
      <c r="F196" t="inlineStr">
        <is>
          <t>KALMAR LÄN</t>
        </is>
      </c>
      <c r="G196" t="inlineStr">
        <is>
          <t>MÖNSTERÅS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64106-2023</t>
        </is>
      </c>
      <c r="B197" t="inlineStr">
        <is>
          <t>avverkningsanmälan</t>
        </is>
      </c>
      <c r="C197" t="inlineStr">
        <is>
          <t>Föryngringsavverkning</t>
        </is>
      </c>
      <c r="D197" s="1" t="n">
        <v>45279</v>
      </c>
      <c r="E197" s="1" t="n">
        <v>46326</v>
      </c>
      <c r="F197" t="inlineStr">
        <is>
          <t>KALMAR LÄN</t>
        </is>
      </c>
      <c r="G197" t="inlineStr">
        <is>
          <t>MÖNSTERÅS</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58984-2025</t>
        </is>
      </c>
      <c r="B198" t="inlineStr">
        <is>
          <t>avverkningsanmälan</t>
        </is>
      </c>
      <c r="C198" t="inlineStr">
        <is>
          <t>Avverkning för annat ändamål</t>
        </is>
      </c>
      <c r="D198" s="1" t="n">
        <v>45987</v>
      </c>
      <c r="E198" s="1" t="n">
        <v>46326</v>
      </c>
      <c r="F198" t="inlineStr">
        <is>
          <t>KALMAR LÄN</t>
        </is>
      </c>
      <c r="G198" t="inlineStr">
        <is>
          <t>MÖNSTERÅS</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58985-2025</t>
        </is>
      </c>
      <c r="B199" t="inlineStr">
        <is>
          <t>avverkningsanmälan</t>
        </is>
      </c>
      <c r="C199" t="inlineStr">
        <is>
          <t>Avverkning för annat ändamål</t>
        </is>
      </c>
      <c r="D199" s="1" t="n">
        <v>45987</v>
      </c>
      <c r="E199" s="1" t="n">
        <v>46326</v>
      </c>
      <c r="F199" t="inlineStr">
        <is>
          <t>KALMAR LÄN</t>
        </is>
      </c>
      <c r="G199" t="inlineStr">
        <is>
          <t>MÖNSTERÅS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58987-2025</t>
        </is>
      </c>
      <c r="B200" t="inlineStr">
        <is>
          <t>avverkningsanmälan</t>
        </is>
      </c>
      <c r="C200" t="inlineStr">
        <is>
          <t>Avverkning för annat ändamål</t>
        </is>
      </c>
      <c r="D200" s="1" t="n">
        <v>45987</v>
      </c>
      <c r="E200" s="1" t="n">
        <v>46326</v>
      </c>
      <c r="F200" t="inlineStr">
        <is>
          <t>KALMAR LÄN</t>
        </is>
      </c>
      <c r="G200" t="inlineStr">
        <is>
          <t>MÖNSTERÅS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59309-2022</t>
        </is>
      </c>
      <c r="B201" t="inlineStr">
        <is>
          <t>avverkningsanmälan</t>
        </is>
      </c>
      <c r="C201" t="inlineStr">
        <is>
          <t>Föryngringsavverkning</t>
        </is>
      </c>
      <c r="D201" s="1" t="n">
        <v>44904</v>
      </c>
      <c r="E201" s="1" t="n">
        <v>46326</v>
      </c>
      <c r="F201" t="inlineStr">
        <is>
          <t>KALMAR LÄN</t>
        </is>
      </c>
      <c r="G201" t="inlineStr">
        <is>
          <t>MÖNSTERÅS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59243-2022</t>
        </is>
      </c>
      <c r="B202" t="inlineStr">
        <is>
          <t>avverkningsanmälan</t>
        </is>
      </c>
      <c r="C202" t="inlineStr">
        <is>
          <t>Föryngringsavverkning</t>
        </is>
      </c>
      <c r="D202" s="1" t="n">
        <v>44904</v>
      </c>
      <c r="E202" s="1" t="n">
        <v>46326</v>
      </c>
      <c r="F202" t="inlineStr">
        <is>
          <t>KALMAR LÄN</t>
        </is>
      </c>
      <c r="G202" t="inlineStr">
        <is>
          <t>MÖNSTERÅS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59233-2025</t>
        </is>
      </c>
      <c r="B203" t="inlineStr">
        <is>
          <t>avverkningsanmälan</t>
        </is>
      </c>
      <c r="C203" t="inlineStr">
        <is>
          <t>Föryngringsavverkning</t>
        </is>
      </c>
      <c r="D203" s="1" t="n">
        <v>45988</v>
      </c>
      <c r="E203" s="1" t="n">
        <v>46326</v>
      </c>
      <c r="F203" t="inlineStr">
        <is>
          <t>KALMAR LÄN</t>
        </is>
      </c>
      <c r="G203" t="inlineStr">
        <is>
          <t>MÖNSTERÅS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55405-2023</t>
        </is>
      </c>
      <c r="B204" t="inlineStr">
        <is>
          <t>avverkningsanmälan</t>
        </is>
      </c>
      <c r="C204" t="inlineStr">
        <is>
          <t>Föryngringsavverkning</t>
        </is>
      </c>
      <c r="D204" s="1" t="n">
        <v>45238</v>
      </c>
      <c r="E204" s="1" t="n">
        <v>46326</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12912-2026</t>
        </is>
      </c>
      <c r="B205" t="inlineStr">
        <is>
          <t>avverkningsanmälan</t>
        </is>
      </c>
      <c r="C205" t="inlineStr">
        <is>
          <t>Föryngringsavverkning</t>
        </is>
      </c>
      <c r="D205" s="1" t="n">
        <v>46092</v>
      </c>
      <c r="E205" s="1" t="n">
        <v>46326</v>
      </c>
      <c r="F205" t="inlineStr">
        <is>
          <t>KALMAR LÄN</t>
        </is>
      </c>
      <c r="G205" t="inlineStr">
        <is>
          <t>MÖNSTERÅS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21950-2023</t>
        </is>
      </c>
      <c r="B206" t="inlineStr">
        <is>
          <t>avverkningsanmälan</t>
        </is>
      </c>
      <c r="C206" t="inlineStr">
        <is>
          <t>Föryngringsavverkning</t>
        </is>
      </c>
      <c r="D206" s="1" t="n">
        <v>45068</v>
      </c>
      <c r="E206" s="1" t="n">
        <v>46326</v>
      </c>
      <c r="F206" t="inlineStr">
        <is>
          <t>KALMAR LÄN</t>
        </is>
      </c>
      <c r="G206" t="inlineStr">
        <is>
          <t>MÖNSTERÅS</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13723-2026</t>
        </is>
      </c>
      <c r="B207" t="inlineStr">
        <is>
          <t>avverkningsanmälan</t>
        </is>
      </c>
      <c r="C207" t="inlineStr">
        <is>
          <t>Föryngringsavverkning</t>
        </is>
      </c>
      <c r="D207" s="1" t="n">
        <v>46097</v>
      </c>
      <c r="E207" s="1" t="n">
        <v>46326</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49658-2024</t>
        </is>
      </c>
      <c r="B208" t="inlineStr">
        <is>
          <t>avverkningsanmälan</t>
        </is>
      </c>
      <c r="C208" t="inlineStr">
        <is>
          <t>Föryngringsavverkning</t>
        </is>
      </c>
      <c r="D208" s="1" t="n">
        <v>45596</v>
      </c>
      <c r="E208" s="1" t="n">
        <v>46326</v>
      </c>
      <c r="F208" t="inlineStr">
        <is>
          <t>KALMAR LÄN</t>
        </is>
      </c>
      <c r="G208" t="inlineStr">
        <is>
          <t>MÖNSTERÅS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4946-2024</t>
        </is>
      </c>
      <c r="B209" t="inlineStr">
        <is>
          <t>avverkningsanmälan</t>
        </is>
      </c>
      <c r="C209" t="inlineStr">
        <is>
          <t>Föryngringsavverkning</t>
        </is>
      </c>
      <c r="D209" s="1" t="n">
        <v>45329</v>
      </c>
      <c r="E209" s="1" t="n">
        <v>46326</v>
      </c>
      <c r="F209" t="inlineStr">
        <is>
          <t>KALMAR LÄN</t>
        </is>
      </c>
      <c r="G209" t="inlineStr">
        <is>
          <t>MÖNSTERÅS</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5235-2024</t>
        </is>
      </c>
      <c r="B210" t="inlineStr">
        <is>
          <t>avverkningsanmälan</t>
        </is>
      </c>
      <c r="C210" t="inlineStr">
        <is>
          <t>Föryngringsavverkning</t>
        </is>
      </c>
      <c r="D210" s="1" t="n">
        <v>45330</v>
      </c>
      <c r="E210" s="1" t="n">
        <v>46326</v>
      </c>
      <c r="F210" t="inlineStr">
        <is>
          <t>KALMAR LÄN</t>
        </is>
      </c>
      <c r="G210" t="inlineStr">
        <is>
          <t>MÖNSTERÅS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57964-2024</t>
        </is>
      </c>
      <c r="B211" t="inlineStr">
        <is>
          <t>avverkningsanmälan</t>
        </is>
      </c>
      <c r="C211" t="inlineStr">
        <is>
          <t>Föryngringsavverkning</t>
        </is>
      </c>
      <c r="D211" s="1" t="n">
        <v>45631</v>
      </c>
      <c r="E211" s="1" t="n">
        <v>46326</v>
      </c>
      <c r="F211" t="inlineStr">
        <is>
          <t>KALMAR LÄN</t>
        </is>
      </c>
      <c r="G211" t="inlineStr">
        <is>
          <t>MÖNSTERÅS</t>
        </is>
      </c>
      <c r="H211" t="inlineStr">
        <is>
          <t>Övriga Aktiebolag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15067-2024</t>
        </is>
      </c>
      <c r="B212" t="inlineStr">
        <is>
          <t>avverkningsanmälan</t>
        </is>
      </c>
      <c r="C212" t="inlineStr">
        <is>
          <t>Föryngringsavverkning</t>
        </is>
      </c>
      <c r="D212" s="1" t="n">
        <v>45399</v>
      </c>
      <c r="E212" s="1" t="n">
        <v>46326</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6223-2022</t>
        </is>
      </c>
      <c r="B213" t="inlineStr">
        <is>
          <t>avverkningsanmälan</t>
        </is>
      </c>
      <c r="C213" t="inlineStr">
        <is>
          <t>Föryngringsavverkning</t>
        </is>
      </c>
      <c r="D213" s="1" t="n">
        <v>44600</v>
      </c>
      <c r="E213" s="1" t="n">
        <v>46326</v>
      </c>
      <c r="F213" t="inlineStr">
        <is>
          <t>KALMAR LÄN</t>
        </is>
      </c>
      <c r="G213" t="inlineStr">
        <is>
          <t>MÖNSTERÅS</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63471-2023</t>
        </is>
      </c>
      <c r="B214" t="inlineStr">
        <is>
          <t>avverkningsanmälan</t>
        </is>
      </c>
      <c r="C214" t="inlineStr">
        <is>
          <t>Föryngringsavverkning</t>
        </is>
      </c>
      <c r="D214" s="1" t="n">
        <v>45274</v>
      </c>
      <c r="E214" s="1" t="n">
        <v>46326</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59298-2022</t>
        </is>
      </c>
      <c r="B215" t="inlineStr">
        <is>
          <t>avverkningsanmälan</t>
        </is>
      </c>
      <c r="C215" t="inlineStr">
        <is>
          <t>Föryngringsavverkning</t>
        </is>
      </c>
      <c r="D215" s="1" t="n">
        <v>44904</v>
      </c>
      <c r="E215" s="1" t="n">
        <v>46326</v>
      </c>
      <c r="F215" t="inlineStr">
        <is>
          <t>KALMAR LÄN</t>
        </is>
      </c>
      <c r="G215" t="inlineStr">
        <is>
          <t>MÖNSTERÅS</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2713-2024</t>
        </is>
      </c>
      <c r="B216" t="inlineStr">
        <is>
          <t>avverkningsanmälan</t>
        </is>
      </c>
      <c r="C216" t="inlineStr">
        <is>
          <t>Föryngringsavverkning</t>
        </is>
      </c>
      <c r="D216" s="1" t="n">
        <v>45314</v>
      </c>
      <c r="E216" s="1" t="n">
        <v>46326</v>
      </c>
      <c r="F216" t="inlineStr">
        <is>
          <t>KALMAR LÄN</t>
        </is>
      </c>
      <c r="G216" t="inlineStr">
        <is>
          <t>MÖNSTERÅS</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17753-2023</t>
        </is>
      </c>
      <c r="B217" t="inlineStr">
        <is>
          <t>avverkningsanmälan</t>
        </is>
      </c>
      <c r="C217" t="inlineStr">
        <is>
          <t>Föryngringsavverkning</t>
        </is>
      </c>
      <c r="D217" s="1" t="n">
        <v>45037</v>
      </c>
      <c r="E217" s="1" t="n">
        <v>46326</v>
      </c>
      <c r="F217" t="inlineStr">
        <is>
          <t>KALMAR LÄN</t>
        </is>
      </c>
      <c r="G217" t="inlineStr">
        <is>
          <t>MÖNSTERÅS</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8981-2025</t>
        </is>
      </c>
      <c r="B218" t="inlineStr">
        <is>
          <t>avverkningsanmälan</t>
        </is>
      </c>
      <c r="C218" t="inlineStr">
        <is>
          <t>Föryngringsavverkning</t>
        </is>
      </c>
      <c r="D218" s="1" t="n">
        <v>45713</v>
      </c>
      <c r="E218" s="1" t="n">
        <v>46326</v>
      </c>
      <c r="F218" t="inlineStr">
        <is>
          <t>KALMAR LÄN</t>
        </is>
      </c>
      <c r="G218" t="inlineStr">
        <is>
          <t>MÖNSTERÅS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49892-2024</t>
        </is>
      </c>
      <c r="B219" t="inlineStr">
        <is>
          <t>avverkningsanmälan</t>
        </is>
      </c>
      <c r="C219" t="inlineStr">
        <is>
          <t>Föryngringsavverkning</t>
        </is>
      </c>
      <c r="D219" s="1" t="n">
        <v>45597</v>
      </c>
      <c r="E219" s="1" t="n">
        <v>46326</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16851-2026</t>
        </is>
      </c>
      <c r="B220" t="inlineStr">
        <is>
          <t>avverkningsanmälan</t>
        </is>
      </c>
      <c r="C220" t="inlineStr">
        <is>
          <t>Föryngringsavverkning</t>
        </is>
      </c>
      <c r="D220" s="1" t="n">
        <v>46113</v>
      </c>
      <c r="E220" s="1" t="n">
        <v>46326</v>
      </c>
      <c r="F220" t="inlineStr">
        <is>
          <t>KALMAR LÄN</t>
        </is>
      </c>
      <c r="G220" t="inlineStr">
        <is>
          <t>MÖNSTERÅS</t>
        </is>
      </c>
      <c r="H220" t="inlineStr">
        <is>
          <t>Kommuner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10388-2023</t>
        </is>
      </c>
      <c r="B221" t="inlineStr">
        <is>
          <t>avverkningsanmälan</t>
        </is>
      </c>
      <c r="C221" t="inlineStr">
        <is>
          <t>Föryngringsavverkning</t>
        </is>
      </c>
      <c r="D221" s="1" t="n">
        <v>44981</v>
      </c>
      <c r="E221" s="1" t="n">
        <v>46326</v>
      </c>
      <c r="F221" t="inlineStr">
        <is>
          <t>KALMAR LÄN</t>
        </is>
      </c>
      <c r="G221" t="inlineStr">
        <is>
          <t>MÖNSTERÅS</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63047-2023</t>
        </is>
      </c>
      <c r="B222" t="inlineStr">
        <is>
          <t>avverkningsanmälan</t>
        </is>
      </c>
      <c r="C222" t="inlineStr">
        <is>
          <t>Föryngringsavverkning</t>
        </is>
      </c>
      <c r="D222" s="1" t="n">
        <v>45272</v>
      </c>
      <c r="E222" s="1" t="n">
        <v>46326</v>
      </c>
      <c r="F222" t="inlineStr">
        <is>
          <t>KALMAR LÄN</t>
        </is>
      </c>
      <c r="G222" t="inlineStr">
        <is>
          <t>MÖNSTERÅS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17123-2023</t>
        </is>
      </c>
      <c r="B223" t="inlineStr">
        <is>
          <t>avverkningsanmälan</t>
        </is>
      </c>
      <c r="C223" t="inlineStr">
        <is>
          <t>Föryngringsavverkning</t>
        </is>
      </c>
      <c r="D223" s="1" t="n">
        <v>45034</v>
      </c>
      <c r="E223" s="1" t="n">
        <v>46326</v>
      </c>
      <c r="F223" t="inlineStr">
        <is>
          <t>KALMAR LÄN</t>
        </is>
      </c>
      <c r="G223" t="inlineStr">
        <is>
          <t>MÖNSTERÅS</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2671-2024</t>
        </is>
      </c>
      <c r="B224" t="inlineStr">
        <is>
          <t>avverkningsanmälan</t>
        </is>
      </c>
      <c r="C224" t="inlineStr">
        <is>
          <t>Föryngringsavverkning</t>
        </is>
      </c>
      <c r="D224" s="1" t="n">
        <v>45314</v>
      </c>
      <c r="E224" s="1" t="n">
        <v>46326</v>
      </c>
      <c r="F224" t="inlineStr">
        <is>
          <t>KALMAR LÄN</t>
        </is>
      </c>
      <c r="G224" t="inlineStr">
        <is>
          <t>MÖNSTERÅS</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26494-2023</t>
        </is>
      </c>
      <c r="B225" t="inlineStr">
        <is>
          <t>avverkningsanmälan</t>
        </is>
      </c>
      <c r="C225" t="inlineStr">
        <is>
          <t>Föryngringsavverkning</t>
        </is>
      </c>
      <c r="D225" s="1" t="n">
        <v>45092</v>
      </c>
      <c r="E225" s="1" t="n">
        <v>46326</v>
      </c>
      <c r="F225" t="inlineStr">
        <is>
          <t>KALMAR LÄN</t>
        </is>
      </c>
      <c r="G225" t="inlineStr">
        <is>
          <t>MÖNSTERÅS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17956-2026</t>
        </is>
      </c>
      <c r="B226" t="inlineStr">
        <is>
          <t>avverkningsanmälan</t>
        </is>
      </c>
      <c r="C226" t="inlineStr">
        <is>
          <t>Föryngringsavverkning</t>
        </is>
      </c>
      <c r="D226" s="1" t="n">
        <v>46122</v>
      </c>
      <c r="E226" s="1" t="n">
        <v>46326</v>
      </c>
      <c r="F226" t="inlineStr">
        <is>
          <t>KALMAR LÄN</t>
        </is>
      </c>
      <c r="G226" t="inlineStr">
        <is>
          <t>MÖNSTERÅS</t>
        </is>
      </c>
      <c r="I226" t="n">
        <v>8.699999999999999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18334-2026</t>
        </is>
      </c>
      <c r="B227" t="inlineStr">
        <is>
          <t>avverkningsanmälan</t>
        </is>
      </c>
      <c r="C227" t="inlineStr">
        <is>
          <t>Föryngringsavverkning</t>
        </is>
      </c>
      <c r="D227" s="1" t="n">
        <v>46126</v>
      </c>
      <c r="E227" s="1" t="n">
        <v>46326</v>
      </c>
      <c r="F227" t="inlineStr">
        <is>
          <t>KALMAR LÄN</t>
        </is>
      </c>
      <c r="G227" t="inlineStr">
        <is>
          <t>MÖNSTERÅS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36644-2024</t>
        </is>
      </c>
      <c r="B228" t="inlineStr">
        <is>
          <t>avverkningsanmälan</t>
        </is>
      </c>
      <c r="C228" t="inlineStr">
        <is>
          <t>Föryngringsavverkning</t>
        </is>
      </c>
      <c r="D228" s="1" t="n">
        <v>45537</v>
      </c>
      <c r="E228" s="1" t="n">
        <v>46326</v>
      </c>
      <c r="F228" t="inlineStr">
        <is>
          <t>KALMAR LÄN</t>
        </is>
      </c>
      <c r="G228" t="inlineStr">
        <is>
          <t>MÖNSTERÅS</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46326</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36873-2024</t>
        </is>
      </c>
      <c r="B230" t="inlineStr">
        <is>
          <t>avverkningsanmälan</t>
        </is>
      </c>
      <c r="C230" t="inlineStr">
        <is>
          <t>Föryngringsavverkning</t>
        </is>
      </c>
      <c r="D230" s="1" t="n">
        <v>45538</v>
      </c>
      <c r="E230" s="1" t="n">
        <v>46326</v>
      </c>
      <c r="F230" t="inlineStr">
        <is>
          <t>KALMAR LÄN</t>
        </is>
      </c>
      <c r="G230" t="inlineStr">
        <is>
          <t>MÖNSTERÅS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19525-2026</t>
        </is>
      </c>
      <c r="B231" t="inlineStr">
        <is>
          <t>avverkningsanmälan</t>
        </is>
      </c>
      <c r="C231" t="inlineStr">
        <is>
          <t>Föryngringsavverkning</t>
        </is>
      </c>
      <c r="D231" s="1" t="n">
        <v>46134</v>
      </c>
      <c r="E231" s="1" t="n">
        <v>46326</v>
      </c>
      <c r="F231" t="inlineStr">
        <is>
          <t>KALMAR LÄN</t>
        </is>
      </c>
      <c r="G231" t="inlineStr">
        <is>
          <t>MÖNSTERÅS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37419-2024</t>
        </is>
      </c>
      <c r="B232" t="inlineStr">
        <is>
          <t>avverkningsanmälan</t>
        </is>
      </c>
      <c r="C232" t="inlineStr">
        <is>
          <t>Föryngringsavverkning</t>
        </is>
      </c>
      <c r="D232" s="1" t="n">
        <v>45540</v>
      </c>
      <c r="E232" s="1" t="n">
        <v>46326</v>
      </c>
      <c r="F232" t="inlineStr">
        <is>
          <t>KALMAR LÄN</t>
        </is>
      </c>
      <c r="G232" t="inlineStr">
        <is>
          <t>MÖNSTERÅS</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15719-2024</t>
        </is>
      </c>
      <c r="B233" t="inlineStr">
        <is>
          <t>avverkningsanmälan</t>
        </is>
      </c>
      <c r="C233" t="inlineStr">
        <is>
          <t>Föryngringsavverkning</t>
        </is>
      </c>
      <c r="D233" s="1" t="n">
        <v>45404</v>
      </c>
      <c r="E233" s="1" t="n">
        <v>46326</v>
      </c>
      <c r="F233" t="inlineStr">
        <is>
          <t>KALMAR LÄN</t>
        </is>
      </c>
      <c r="G233" t="inlineStr">
        <is>
          <t>MÖNSTERÅS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59559-2025</t>
        </is>
      </c>
      <c r="B234" t="inlineStr">
        <is>
          <t>avverkningsanmälan</t>
        </is>
      </c>
      <c r="C234" t="inlineStr">
        <is>
          <t>Föryngringsavverkning</t>
        </is>
      </c>
      <c r="D234" s="1" t="n">
        <v>45991</v>
      </c>
      <c r="E234" s="1" t="n">
        <v>46326</v>
      </c>
      <c r="F234" t="inlineStr">
        <is>
          <t>KALMAR LÄN</t>
        </is>
      </c>
      <c r="G234" t="inlineStr">
        <is>
          <t>MÖNSTERÅS</t>
        </is>
      </c>
      <c r="H234" t="inlineStr">
        <is>
          <t>Övriga Aktiebolag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14906-2023</t>
        </is>
      </c>
      <c r="B235" t="inlineStr">
        <is>
          <t>avverkningsanmälan</t>
        </is>
      </c>
      <c r="C235" t="inlineStr">
        <is>
          <t>Föryngringsavverkning</t>
        </is>
      </c>
      <c r="D235" s="1" t="n">
        <v>45015</v>
      </c>
      <c r="E235" s="1" t="n">
        <v>46326</v>
      </c>
      <c r="F235" t="inlineStr">
        <is>
          <t>KALMAR LÄN</t>
        </is>
      </c>
      <c r="G235" t="inlineStr">
        <is>
          <t>MÖNSTERÅS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40241-2022</t>
        </is>
      </c>
      <c r="B236" t="inlineStr">
        <is>
          <t>avverkningsanmälan</t>
        </is>
      </c>
      <c r="C236" t="inlineStr">
        <is>
          <t>Föryngringsavverkning</t>
        </is>
      </c>
      <c r="D236" s="1" t="n">
        <v>44820</v>
      </c>
      <c r="E236" s="1" t="n">
        <v>46326</v>
      </c>
      <c r="F236" t="inlineStr">
        <is>
          <t>KALMAR LÄN</t>
        </is>
      </c>
      <c r="G236" t="inlineStr">
        <is>
          <t>MÖNSTERÅS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51532-2022</t>
        </is>
      </c>
      <c r="B237" t="inlineStr">
        <is>
          <t>avverkningsanmälan</t>
        </is>
      </c>
      <c r="C237" t="inlineStr">
        <is>
          <t>Föryngringsavverkning</t>
        </is>
      </c>
      <c r="D237" s="1" t="n">
        <v>44869</v>
      </c>
      <c r="E237" s="1" t="n">
        <v>46326</v>
      </c>
      <c r="F237" t="inlineStr">
        <is>
          <t>KALMAR LÄN</t>
        </is>
      </c>
      <c r="G237" t="inlineStr">
        <is>
          <t>MÖNSTERÅS</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62204-2022</t>
        </is>
      </c>
      <c r="B238" t="inlineStr">
        <is>
          <t>avverkningsanmälan</t>
        </is>
      </c>
      <c r="C238" t="inlineStr">
        <is>
          <t>Föryngringsavverkning</t>
        </is>
      </c>
      <c r="D238" s="1" t="n">
        <v>44922</v>
      </c>
      <c r="E238" s="1" t="n">
        <v>46326</v>
      </c>
      <c r="F238" t="inlineStr">
        <is>
          <t>KALMAR LÄN</t>
        </is>
      </c>
      <c r="G238" t="inlineStr">
        <is>
          <t>MÖNSTERÅS</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37235-2024</t>
        </is>
      </c>
      <c r="B239" t="inlineStr">
        <is>
          <t>avverkningsanmälan</t>
        </is>
      </c>
      <c r="C239" t="inlineStr">
        <is>
          <t>Föryngringsavverkning</t>
        </is>
      </c>
      <c r="D239" s="1" t="n">
        <v>45540</v>
      </c>
      <c r="E239" s="1" t="n">
        <v>46326</v>
      </c>
      <c r="F239" t="inlineStr">
        <is>
          <t>KALMAR LÄN</t>
        </is>
      </c>
      <c r="G239" t="inlineStr">
        <is>
          <t>MÖNSTERÅS</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10104-2022</t>
        </is>
      </c>
      <c r="B240" t="inlineStr">
        <is>
          <t>avverkningsanmälan</t>
        </is>
      </c>
      <c r="C240" t="inlineStr">
        <is>
          <t>Föryngringsavverkning</t>
        </is>
      </c>
      <c r="D240" s="1" t="n">
        <v>44621</v>
      </c>
      <c r="E240" s="1" t="n">
        <v>46326</v>
      </c>
      <c r="F240" t="inlineStr">
        <is>
          <t>KALMAR LÄN</t>
        </is>
      </c>
      <c r="G240" t="inlineStr">
        <is>
          <t>MÖNSTERÅS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37094-2022</t>
        </is>
      </c>
      <c r="B241" t="inlineStr">
        <is>
          <t>avverkningsanmälan</t>
        </is>
      </c>
      <c r="C241" t="inlineStr">
        <is>
          <t>Föryngringsavverkning</t>
        </is>
      </c>
      <c r="D241" s="1" t="n">
        <v>44806</v>
      </c>
      <c r="E241" s="1" t="n">
        <v>46326</v>
      </c>
      <c r="F241" t="inlineStr">
        <is>
          <t>KALMAR LÄN</t>
        </is>
      </c>
      <c r="G241" t="inlineStr">
        <is>
          <t>MÖNSTERÅS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59802-2024</t>
        </is>
      </c>
      <c r="B242" t="inlineStr">
        <is>
          <t>avverkningsanmälan</t>
        </is>
      </c>
      <c r="C242" t="inlineStr">
        <is>
          <t>Föryngringsavverkning</t>
        </is>
      </c>
      <c r="D242" s="1" t="n">
        <v>45639</v>
      </c>
      <c r="E242" s="1" t="n">
        <v>46326</v>
      </c>
      <c r="F242" t="inlineStr">
        <is>
          <t>KALMAR LÄN</t>
        </is>
      </c>
      <c r="G242" t="inlineStr">
        <is>
          <t>MÖNSTERÅS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18857-2025</t>
        </is>
      </c>
      <c r="B243" t="inlineStr">
        <is>
          <t>avverkningsanmälan</t>
        </is>
      </c>
      <c r="C243" t="inlineStr">
        <is>
          <t>Föryngringsavverkning</t>
        </is>
      </c>
      <c r="D243" s="1" t="n">
        <v>45764</v>
      </c>
      <c r="E243" s="1" t="n">
        <v>46326</v>
      </c>
      <c r="F243" t="inlineStr">
        <is>
          <t>KALMAR LÄN</t>
        </is>
      </c>
      <c r="G243" t="inlineStr">
        <is>
          <t>MÖNSTERÅS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31015-2023</t>
        </is>
      </c>
      <c r="B244" t="inlineStr">
        <is>
          <t>avverkningsanmälan</t>
        </is>
      </c>
      <c r="C244" t="inlineStr">
        <is>
          <t>Avverkning för annat ändamål</t>
        </is>
      </c>
      <c r="D244" s="1" t="n">
        <v>45113</v>
      </c>
      <c r="E244" s="1" t="n">
        <v>46326</v>
      </c>
      <c r="F244" t="inlineStr">
        <is>
          <t>KALMAR LÄN</t>
        </is>
      </c>
      <c r="G244" t="inlineStr">
        <is>
          <t>MÖNSTERÅS</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36908-2024</t>
        </is>
      </c>
      <c r="B245" t="inlineStr">
        <is>
          <t>avverkningsanmälan</t>
        </is>
      </c>
      <c r="C245" t="inlineStr">
        <is>
          <t>Föryngringsavverkning</t>
        </is>
      </c>
      <c r="D245" s="1" t="n">
        <v>45538</v>
      </c>
      <c r="E245" s="1" t="n">
        <v>46326</v>
      </c>
      <c r="F245" t="inlineStr">
        <is>
          <t>KALMAR LÄN</t>
        </is>
      </c>
      <c r="G245" t="inlineStr">
        <is>
          <t>MÖNSTERÅS</t>
        </is>
      </c>
      <c r="I245" t="n">
        <v>19.2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14610-2023</t>
        </is>
      </c>
      <c r="B246" t="inlineStr">
        <is>
          <t>avverkningsanmälan</t>
        </is>
      </c>
      <c r="C246" t="inlineStr">
        <is>
          <t>Föryngringsavverkning</t>
        </is>
      </c>
      <c r="D246" s="1" t="n">
        <v>45013</v>
      </c>
      <c r="E246" s="1" t="n">
        <v>46326</v>
      </c>
      <c r="F246" t="inlineStr">
        <is>
          <t>KALMAR LÄN</t>
        </is>
      </c>
      <c r="G246" t="inlineStr">
        <is>
          <t>MÖNSTERÅS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18843-2025</t>
        </is>
      </c>
      <c r="B247" t="inlineStr">
        <is>
          <t>avverkningsanmälan</t>
        </is>
      </c>
      <c r="C247" t="inlineStr">
        <is>
          <t>Föryngringsavverkning</t>
        </is>
      </c>
      <c r="D247" s="1" t="n">
        <v>45764</v>
      </c>
      <c r="E247" s="1" t="n">
        <v>46326</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57763-2022</t>
        </is>
      </c>
      <c r="B248" t="inlineStr">
        <is>
          <t>avverkningsanmälan</t>
        </is>
      </c>
      <c r="C248" t="inlineStr">
        <is>
          <t>Föryngringsavverkning</t>
        </is>
      </c>
      <c r="D248" s="1" t="n">
        <v>44897</v>
      </c>
      <c r="E248" s="1" t="n">
        <v>46326</v>
      </c>
      <c r="F248" t="inlineStr">
        <is>
          <t>KALMAR LÄN</t>
        </is>
      </c>
      <c r="G248" t="inlineStr">
        <is>
          <t>MÖNSTERÅS</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19280-2025</t>
        </is>
      </c>
      <c r="B249" t="inlineStr">
        <is>
          <t>avverkningsanmälan</t>
        </is>
      </c>
      <c r="C249" t="inlineStr">
        <is>
          <t>Föryngringsavverkning</t>
        </is>
      </c>
      <c r="D249" s="1" t="n">
        <v>45769</v>
      </c>
      <c r="E249" s="1" t="n">
        <v>46326</v>
      </c>
      <c r="F249" t="inlineStr">
        <is>
          <t>KALMAR LÄN</t>
        </is>
      </c>
      <c r="G249" t="inlineStr">
        <is>
          <t>MÖNSTERÅS</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9050-2023</t>
        </is>
      </c>
      <c r="B250" t="inlineStr">
        <is>
          <t>avverkningsanmälan</t>
        </is>
      </c>
      <c r="C250" t="inlineStr">
        <is>
          <t>Föryngringsavverkning</t>
        </is>
      </c>
      <c r="D250" s="1" t="n">
        <v>44979</v>
      </c>
      <c r="E250" s="1" t="n">
        <v>46326</v>
      </c>
      <c r="F250" t="inlineStr">
        <is>
          <t>KALMAR LÄN</t>
        </is>
      </c>
      <c r="G250" t="inlineStr">
        <is>
          <t>MÖNSTERÅS</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24984-2023</t>
        </is>
      </c>
      <c r="B251" t="inlineStr">
        <is>
          <t>avverkningsanmälan</t>
        </is>
      </c>
      <c r="C251" t="inlineStr">
        <is>
          <t>Föryngringsavverkning</t>
        </is>
      </c>
      <c r="D251" s="1" t="n">
        <v>45085</v>
      </c>
      <c r="E251" s="1" t="n">
        <v>46326</v>
      </c>
      <c r="F251" t="inlineStr">
        <is>
          <t>KALMAR LÄN</t>
        </is>
      </c>
      <c r="G251" t="inlineStr">
        <is>
          <t>MÖNSTERÅS</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35883-2022</t>
        </is>
      </c>
      <c r="B252" t="inlineStr">
        <is>
          <t>avverkningsanmälan</t>
        </is>
      </c>
      <c r="C252" t="inlineStr">
        <is>
          <t>Avverkning för annat ändamål</t>
        </is>
      </c>
      <c r="D252" s="1" t="n">
        <v>44802</v>
      </c>
      <c r="E252" s="1" t="n">
        <v>46326</v>
      </c>
      <c r="F252" t="inlineStr">
        <is>
          <t>KALMAR LÄN</t>
        </is>
      </c>
      <c r="G252" t="inlineStr">
        <is>
          <t>MÖNSTERÅS</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19930-2026</t>
        </is>
      </c>
      <c r="B253" t="inlineStr">
        <is>
          <t>avverkningsanmälan</t>
        </is>
      </c>
      <c r="C253" t="inlineStr">
        <is>
          <t>Föryngringsavverkning</t>
        </is>
      </c>
      <c r="D253" s="1" t="n">
        <v>46136</v>
      </c>
      <c r="E253" s="1" t="n">
        <v>46326</v>
      </c>
      <c r="F253" t="inlineStr">
        <is>
          <t>KALMAR LÄN</t>
        </is>
      </c>
      <c r="G253" t="inlineStr">
        <is>
          <t>MÖNSTERÅS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9132-2026</t>
        </is>
      </c>
      <c r="B254" t="inlineStr">
        <is>
          <t>avverkningsanmälan</t>
        </is>
      </c>
      <c r="C254" t="inlineStr">
        <is>
          <t>Föryngringsavverkning</t>
        </is>
      </c>
      <c r="D254" s="1" t="n">
        <v>46069</v>
      </c>
      <c r="E254" s="1" t="n">
        <v>46326</v>
      </c>
      <c r="F254" t="inlineStr">
        <is>
          <t>KALMAR LÄN</t>
        </is>
      </c>
      <c r="G254" t="inlineStr">
        <is>
          <t>MÖNSTERÅS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5386-2026</t>
        </is>
      </c>
      <c r="B255" t="inlineStr">
        <is>
          <t>avverkningsanmälan</t>
        </is>
      </c>
      <c r="C255" t="inlineStr">
        <is>
          <t>Föryngringsavverkning</t>
        </is>
      </c>
      <c r="D255" s="1" t="n">
        <v>46050</v>
      </c>
      <c r="E255" s="1" t="n">
        <v>46326</v>
      </c>
      <c r="F255" t="inlineStr">
        <is>
          <t>KALMAR LÄN</t>
        </is>
      </c>
      <c r="G255" t="inlineStr">
        <is>
          <t>MÖNSTERÅS</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36619-2024</t>
        </is>
      </c>
      <c r="B256" t="inlineStr">
        <is>
          <t>avverkningsanmälan</t>
        </is>
      </c>
      <c r="C256" t="inlineStr">
        <is>
          <t>Föryngringsavverkning</t>
        </is>
      </c>
      <c r="D256" s="1" t="n">
        <v>45537</v>
      </c>
      <c r="E256" s="1" t="n">
        <v>46326</v>
      </c>
      <c r="F256" t="inlineStr">
        <is>
          <t>KALMAR LÄN</t>
        </is>
      </c>
      <c r="G256" t="inlineStr">
        <is>
          <t>MÖNSTERÅS</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36890-2024</t>
        </is>
      </c>
      <c r="B257" t="inlineStr">
        <is>
          <t>avverkningsanmälan</t>
        </is>
      </c>
      <c r="C257" t="inlineStr">
        <is>
          <t>Föryngringsavverkning</t>
        </is>
      </c>
      <c r="D257" s="1" t="n">
        <v>45538</v>
      </c>
      <c r="E257" s="1" t="n">
        <v>46326</v>
      </c>
      <c r="F257" t="inlineStr">
        <is>
          <t>KALMAR LÄN</t>
        </is>
      </c>
      <c r="G257" t="inlineStr">
        <is>
          <t>MÖNSTERÅS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62638-2023</t>
        </is>
      </c>
      <c r="B258" t="inlineStr">
        <is>
          <t>avverkningsanmälan</t>
        </is>
      </c>
      <c r="C258" t="inlineStr">
        <is>
          <t>Föryngringsavverkning</t>
        </is>
      </c>
      <c r="D258" s="1" t="n">
        <v>45271</v>
      </c>
      <c r="E258" s="1" t="n">
        <v>46326</v>
      </c>
      <c r="F258" t="inlineStr">
        <is>
          <t>KALMAR LÄN</t>
        </is>
      </c>
      <c r="G258" t="inlineStr">
        <is>
          <t>MÖNSTERÅS</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4474-2025</t>
        </is>
      </c>
      <c r="B259" t="inlineStr">
        <is>
          <t>avverkningsanmälan</t>
        </is>
      </c>
      <c r="C259" t="inlineStr">
        <is>
          <t>Föryngringsavverkning</t>
        </is>
      </c>
      <c r="D259" s="1" t="n">
        <v>45686</v>
      </c>
      <c r="E259" s="1" t="n">
        <v>46326</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14900-2023</t>
        </is>
      </c>
      <c r="B260" t="inlineStr">
        <is>
          <t>avverkningsanmälan</t>
        </is>
      </c>
      <c r="C260" t="inlineStr">
        <is>
          <t>Föryngringsavverkning</t>
        </is>
      </c>
      <c r="D260" s="1" t="n">
        <v>45015</v>
      </c>
      <c r="E260" s="1" t="n">
        <v>46326</v>
      </c>
      <c r="F260" t="inlineStr">
        <is>
          <t>KALMAR LÄN</t>
        </is>
      </c>
      <c r="G260" t="inlineStr">
        <is>
          <t>MÖNSTERÅS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25205-2023</t>
        </is>
      </c>
      <c r="B261" t="inlineStr">
        <is>
          <t>avverkningsanmälan</t>
        </is>
      </c>
      <c r="C261" t="inlineStr">
        <is>
          <t>Föryngringsavverkning</t>
        </is>
      </c>
      <c r="D261" s="1" t="n">
        <v>45086</v>
      </c>
      <c r="E261" s="1" t="n">
        <v>46326</v>
      </c>
      <c r="F261" t="inlineStr">
        <is>
          <t>KALMAR LÄN</t>
        </is>
      </c>
      <c r="G261" t="inlineStr">
        <is>
          <t>MÖNSTERÅS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776-2023</t>
        </is>
      </c>
      <c r="B262" t="inlineStr">
        <is>
          <t>avverkningsanmälan</t>
        </is>
      </c>
      <c r="C262" t="inlineStr">
        <is>
          <t>Föryngringsavverkning</t>
        </is>
      </c>
      <c r="D262" s="1" t="n">
        <v>44931</v>
      </c>
      <c r="E262" s="1" t="n">
        <v>46326</v>
      </c>
      <c r="F262" t="inlineStr">
        <is>
          <t>KALMAR LÄN</t>
        </is>
      </c>
      <c r="G262" t="inlineStr">
        <is>
          <t>MÖNSTERÅS</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36900-2024</t>
        </is>
      </c>
      <c r="B263" t="inlineStr">
        <is>
          <t>avverkningsanmälan</t>
        </is>
      </c>
      <c r="C263" t="inlineStr">
        <is>
          <t>Föryngringsavverkning</t>
        </is>
      </c>
      <c r="D263" s="1" t="n">
        <v>45538</v>
      </c>
      <c r="E263" s="1" t="n">
        <v>46326</v>
      </c>
      <c r="F263" t="inlineStr">
        <is>
          <t>KALMAR LÄN</t>
        </is>
      </c>
      <c r="G263" t="inlineStr">
        <is>
          <t>MÖNSTERÅS</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13964-2025</t>
        </is>
      </c>
      <c r="B264" t="inlineStr">
        <is>
          <t>avverkningsanmälan</t>
        </is>
      </c>
      <c r="C264" t="inlineStr">
        <is>
          <t>Avverkning för annat ändamål</t>
        </is>
      </c>
      <c r="D264" s="1" t="n">
        <v>45738</v>
      </c>
      <c r="E264" s="1" t="n">
        <v>46326</v>
      </c>
      <c r="F264" t="inlineStr">
        <is>
          <t>KALMAR LÄN</t>
        </is>
      </c>
      <c r="G264" t="inlineStr">
        <is>
          <t>MÖNSTERÅS</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13967-2025</t>
        </is>
      </c>
      <c r="B265" t="inlineStr">
        <is>
          <t>avverkningsanmälan</t>
        </is>
      </c>
      <c r="C265" t="inlineStr">
        <is>
          <t>Avverkning för annat ändamål</t>
        </is>
      </c>
      <c r="D265" s="1" t="n">
        <v>45738</v>
      </c>
      <c r="E265" s="1" t="n">
        <v>46326</v>
      </c>
      <c r="F265" t="inlineStr">
        <is>
          <t>KALMAR LÄN</t>
        </is>
      </c>
      <c r="G265" t="inlineStr">
        <is>
          <t>MÖNSTERÅS</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36364-2023</t>
        </is>
      </c>
      <c r="B266" t="inlineStr">
        <is>
          <t>avverkningsanmälan</t>
        </is>
      </c>
      <c r="C266" t="inlineStr">
        <is>
          <t>Föryngringsavverkning</t>
        </is>
      </c>
      <c r="D266" s="1" t="n">
        <v>45152</v>
      </c>
      <c r="E266" s="1" t="n">
        <v>46326</v>
      </c>
      <c r="F266" t="inlineStr">
        <is>
          <t>KALMAR LÄN</t>
        </is>
      </c>
      <c r="G266" t="inlineStr">
        <is>
          <t>MÖNSTERÅS</t>
        </is>
      </c>
      <c r="H266" t="inlineStr">
        <is>
          <t>Kommuner</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3853-2026</t>
        </is>
      </c>
      <c r="B267" t="inlineStr">
        <is>
          <t>avverkningsanmälan</t>
        </is>
      </c>
      <c r="C267" t="inlineStr">
        <is>
          <t>Föryngringsavverkning</t>
        </is>
      </c>
      <c r="D267" s="1" t="n">
        <v>46043</v>
      </c>
      <c r="E267" s="1" t="n">
        <v>46326</v>
      </c>
      <c r="F267" t="inlineStr">
        <is>
          <t>KALMAR LÄN</t>
        </is>
      </c>
      <c r="G267" t="inlineStr">
        <is>
          <t>MÖNSTERÅS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40188-2023</t>
        </is>
      </c>
      <c r="B268" t="inlineStr">
        <is>
          <t>avverkningsanmälan</t>
        </is>
      </c>
      <c r="C268" t="inlineStr">
        <is>
          <t>Föryngringsavverkning</t>
        </is>
      </c>
      <c r="D268" s="1" t="n">
        <v>45169</v>
      </c>
      <c r="E268" s="1" t="n">
        <v>46326</v>
      </c>
      <c r="F268" t="inlineStr">
        <is>
          <t>KALMAR LÄN</t>
        </is>
      </c>
      <c r="G268" t="inlineStr">
        <is>
          <t>MÖNSTERÅS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52963-2024</t>
        </is>
      </c>
      <c r="B269" t="inlineStr">
        <is>
          <t>avverkningsanmälan</t>
        </is>
      </c>
      <c r="C269" t="inlineStr">
        <is>
          <t>Föryngringsavverkning</t>
        </is>
      </c>
      <c r="D269" s="1" t="n">
        <v>45611</v>
      </c>
      <c r="E269" s="1" t="n">
        <v>46326</v>
      </c>
      <c r="F269" t="inlineStr">
        <is>
          <t>KALMAR LÄN</t>
        </is>
      </c>
      <c r="G269" t="inlineStr">
        <is>
          <t>MÖNSTERÅS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63355-2023</t>
        </is>
      </c>
      <c r="B270" t="inlineStr">
        <is>
          <t>avverkningsanmälan</t>
        </is>
      </c>
      <c r="C270" t="inlineStr">
        <is>
          <t>Föryngringsavverkning</t>
        </is>
      </c>
      <c r="D270" s="1" t="n">
        <v>45274</v>
      </c>
      <c r="E270" s="1" t="n">
        <v>46326</v>
      </c>
      <c r="F270" t="inlineStr">
        <is>
          <t>KALMAR LÄN</t>
        </is>
      </c>
      <c r="G270" t="inlineStr">
        <is>
          <t>MÖNSTERÅS</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16428-2023</t>
        </is>
      </c>
      <c r="B271" t="inlineStr">
        <is>
          <t>avverkningsanmälan</t>
        </is>
      </c>
      <c r="C271" t="inlineStr">
        <is>
          <t>Föryngringsavverkning</t>
        </is>
      </c>
      <c r="D271" s="1" t="n">
        <v>45022</v>
      </c>
      <c r="E271" s="1" t="n">
        <v>46326</v>
      </c>
      <c r="F271" t="inlineStr">
        <is>
          <t>KALMAR LÄN</t>
        </is>
      </c>
      <c r="G271" t="inlineStr">
        <is>
          <t>MÖNSTERÅS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61127-2022</t>
        </is>
      </c>
      <c r="B272" t="inlineStr">
        <is>
          <t>avverkningsanmälan</t>
        </is>
      </c>
      <c r="C272" t="inlineStr">
        <is>
          <t>Föryngringsavverkning</t>
        </is>
      </c>
      <c r="D272" s="1" t="n">
        <v>44915</v>
      </c>
      <c r="E272" s="1" t="n">
        <v>46326</v>
      </c>
      <c r="F272" t="inlineStr">
        <is>
          <t>KALMAR LÄN</t>
        </is>
      </c>
      <c r="G272" t="inlineStr">
        <is>
          <t>MÖNSTERÅS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4472-2025</t>
        </is>
      </c>
      <c r="B273" t="inlineStr">
        <is>
          <t>avverkningsanmälan</t>
        </is>
      </c>
      <c r="C273" t="inlineStr">
        <is>
          <t>Föryngringsavverkning</t>
        </is>
      </c>
      <c r="D273" s="1" t="n">
        <v>45686</v>
      </c>
      <c r="E273" s="1" t="n">
        <v>46326</v>
      </c>
      <c r="F273" t="inlineStr">
        <is>
          <t>KALMAR LÄN</t>
        </is>
      </c>
      <c r="G273" t="inlineStr">
        <is>
          <t>MÖNSTERÅS</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61197-2022</t>
        </is>
      </c>
      <c r="B274" t="inlineStr">
        <is>
          <t>avverkningsanmälan</t>
        </is>
      </c>
      <c r="C274" t="inlineStr">
        <is>
          <t>Föryngringsavverkning</t>
        </is>
      </c>
      <c r="D274" s="1" t="n">
        <v>44915</v>
      </c>
      <c r="E274" s="1" t="n">
        <v>46326</v>
      </c>
      <c r="F274" t="inlineStr">
        <is>
          <t>KALMAR LÄN</t>
        </is>
      </c>
      <c r="G274" t="inlineStr">
        <is>
          <t>MÖNSTERÅS</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61204-2022</t>
        </is>
      </c>
      <c r="B275" t="inlineStr">
        <is>
          <t>avverkningsanmälan</t>
        </is>
      </c>
      <c r="C275" t="inlineStr">
        <is>
          <t>Föryngringsavverkning</t>
        </is>
      </c>
      <c r="D275" s="1" t="n">
        <v>44915</v>
      </c>
      <c r="E275" s="1" t="n">
        <v>46326</v>
      </c>
      <c r="F275" t="inlineStr">
        <is>
          <t>KALMAR LÄN</t>
        </is>
      </c>
      <c r="G275" t="inlineStr">
        <is>
          <t>MÖNSTERÅS</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34344-2023</t>
        </is>
      </c>
      <c r="B276" t="inlineStr">
        <is>
          <t>avverkningsanmälan</t>
        </is>
      </c>
      <c r="C276" t="inlineStr">
        <is>
          <t>Avverkning för annat ändamål</t>
        </is>
      </c>
      <c r="D276" s="1" t="n">
        <v>45139</v>
      </c>
      <c r="E276" s="1" t="n">
        <v>46326</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39158-2022</t>
        </is>
      </c>
      <c r="B277" t="inlineStr">
        <is>
          <t>avverkningsanmälan</t>
        </is>
      </c>
      <c r="C277" t="inlineStr">
        <is>
          <t>Avverkning för annat ändamål</t>
        </is>
      </c>
      <c r="D277" s="1" t="n">
        <v>44817</v>
      </c>
      <c r="E277" s="1" t="n">
        <v>46326</v>
      </c>
      <c r="F277" t="inlineStr">
        <is>
          <t>KALMAR LÄN</t>
        </is>
      </c>
      <c r="G277" t="inlineStr">
        <is>
          <t>MÖNSTERÅS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62283-2022</t>
        </is>
      </c>
      <c r="B278" t="inlineStr">
        <is>
          <t>avverkningsanmälan</t>
        </is>
      </c>
      <c r="C278" t="inlineStr">
        <is>
          <t>Föryngringsavverkning</t>
        </is>
      </c>
      <c r="D278" s="1" t="n">
        <v>44923</v>
      </c>
      <c r="E278" s="1" t="n">
        <v>46326</v>
      </c>
      <c r="F278" t="inlineStr">
        <is>
          <t>KALMAR LÄN</t>
        </is>
      </c>
      <c r="G278" t="inlineStr">
        <is>
          <t>MÖNSTERÅS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51478-2022</t>
        </is>
      </c>
      <c r="B279" t="inlineStr">
        <is>
          <t>avverkningsanmälan</t>
        </is>
      </c>
      <c r="C279" t="inlineStr">
        <is>
          <t>Föryngringsavverkning</t>
        </is>
      </c>
      <c r="D279" s="1" t="n">
        <v>44869</v>
      </c>
      <c r="E279" s="1" t="n">
        <v>46326</v>
      </c>
      <c r="F279" t="inlineStr">
        <is>
          <t>KALMAR LÄN</t>
        </is>
      </c>
      <c r="G279" t="inlineStr">
        <is>
          <t>MÖNSTERÅS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22754-2026</t>
        </is>
      </c>
      <c r="B280" t="inlineStr">
        <is>
          <t>avverkningsanmälan</t>
        </is>
      </c>
      <c r="C280" t="inlineStr">
        <is>
          <t>Avverkning för att bevara och utveckla /försöksver</t>
        </is>
      </c>
      <c r="D280" s="1" t="n">
        <v>46157</v>
      </c>
      <c r="E280" s="1" t="n">
        <v>46326</v>
      </c>
      <c r="F280" t="inlineStr">
        <is>
          <t>KALMAR LÄN</t>
        </is>
      </c>
      <c r="G280" t="inlineStr">
        <is>
          <t>MÖNSTERÅS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45066-2024</t>
        </is>
      </c>
      <c r="B281" t="inlineStr">
        <is>
          <t>avverkningsanmälan</t>
        </is>
      </c>
      <c r="C281" t="inlineStr">
        <is>
          <t>Föryngringsavverkning</t>
        </is>
      </c>
      <c r="D281" s="1" t="n">
        <v>45575</v>
      </c>
      <c r="E281" s="1" t="n">
        <v>46326</v>
      </c>
      <c r="F281" t="inlineStr">
        <is>
          <t>KALMAR LÄN</t>
        </is>
      </c>
      <c r="G281" t="inlineStr">
        <is>
          <t>MÖNSTERÅS</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4268-2025</t>
        </is>
      </c>
      <c r="B282" t="inlineStr">
        <is>
          <t>avverkningsanmälan</t>
        </is>
      </c>
      <c r="C282" t="inlineStr">
        <is>
          <t>Föryngringsavverkning</t>
        </is>
      </c>
      <c r="D282" s="1" t="n">
        <v>45685</v>
      </c>
      <c r="E282" s="1" t="n">
        <v>46326</v>
      </c>
      <c r="F282" t="inlineStr">
        <is>
          <t>KALMAR LÄN</t>
        </is>
      </c>
      <c r="G282" t="inlineStr">
        <is>
          <t>MÖNSTERÅS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70680-2021</t>
        </is>
      </c>
      <c r="B283" t="inlineStr">
        <is>
          <t>avverkningsanmälan</t>
        </is>
      </c>
      <c r="C283" t="inlineStr">
        <is>
          <t>Föryngringsavverkning</t>
        </is>
      </c>
      <c r="D283" s="1" t="n">
        <v>44537</v>
      </c>
      <c r="E283" s="1" t="n">
        <v>46326</v>
      </c>
      <c r="F283" t="inlineStr">
        <is>
          <t>KALMAR LÄN</t>
        </is>
      </c>
      <c r="G283" t="inlineStr">
        <is>
          <t>MÖNSTERÅS</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50913-2023</t>
        </is>
      </c>
      <c r="B284" t="inlineStr">
        <is>
          <t>avverkningsanmälan</t>
        </is>
      </c>
      <c r="C284" t="inlineStr">
        <is>
          <t>Avverkning för annat ändamål</t>
        </is>
      </c>
      <c r="D284" s="1" t="n">
        <v>45218</v>
      </c>
      <c r="E284" s="1" t="n">
        <v>46326</v>
      </c>
      <c r="F284" t="inlineStr">
        <is>
          <t>KALMAR LÄN</t>
        </is>
      </c>
      <c r="G284" t="inlineStr">
        <is>
          <t>MÖNSTERÅS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37582-2025</t>
        </is>
      </c>
      <c r="B285" t="inlineStr">
        <is>
          <t>avverkningsanmälan</t>
        </is>
      </c>
      <c r="C285" t="inlineStr">
        <is>
          <t>Föryngringsavverkning</t>
        </is>
      </c>
      <c r="D285" s="1" t="n">
        <v>45880</v>
      </c>
      <c r="E285" s="1" t="n">
        <v>46326</v>
      </c>
      <c r="F285" t="inlineStr">
        <is>
          <t>KALMAR LÄN</t>
        </is>
      </c>
      <c r="G285" t="inlineStr">
        <is>
          <t>MÖNSTERÅS</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51697-2025</t>
        </is>
      </c>
      <c r="B286" t="inlineStr">
        <is>
          <t>avverkningsanmälan</t>
        </is>
      </c>
      <c r="C286" t="inlineStr">
        <is>
          <t>Föryngringsavverkning</t>
        </is>
      </c>
      <c r="D286" s="1" t="n">
        <v>45950</v>
      </c>
      <c r="E286" s="1" t="n">
        <v>46326</v>
      </c>
      <c r="F286" t="inlineStr">
        <is>
          <t>KALMAR LÄN</t>
        </is>
      </c>
      <c r="G286" t="inlineStr">
        <is>
          <t>MÖNSTERÅS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44535-2024</t>
        </is>
      </c>
      <c r="B287" t="inlineStr">
        <is>
          <t>avverkningsanmälan</t>
        </is>
      </c>
      <c r="C287" t="inlineStr">
        <is>
          <t>Föryngringsavverkning</t>
        </is>
      </c>
      <c r="D287" s="1" t="n">
        <v>45574</v>
      </c>
      <c r="E287" s="1" t="n">
        <v>46326</v>
      </c>
      <c r="F287" t="inlineStr">
        <is>
          <t>KALMAR LÄN</t>
        </is>
      </c>
      <c r="G287" t="inlineStr">
        <is>
          <t>MÖNSTERÅS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41480-2024</t>
        </is>
      </c>
      <c r="B288" t="inlineStr">
        <is>
          <t>avverkningsanmälan</t>
        </is>
      </c>
      <c r="C288" t="inlineStr">
        <is>
          <t>Avverkning för annat ändamål</t>
        </is>
      </c>
      <c r="D288" s="1" t="n">
        <v>45560</v>
      </c>
      <c r="E288" s="1" t="n">
        <v>46326</v>
      </c>
      <c r="F288" t="inlineStr">
        <is>
          <t>KALMAR LÄN</t>
        </is>
      </c>
      <c r="G288" t="inlineStr">
        <is>
          <t>MÖNSTERÅS</t>
        </is>
      </c>
      <c r="I288" t="n">
        <v>10.2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37951-2023</t>
        </is>
      </c>
      <c r="B289" t="inlineStr">
        <is>
          <t>avverkningsanmälan</t>
        </is>
      </c>
      <c r="C289" t="inlineStr">
        <is>
          <t>Föryngringsavverkning</t>
        </is>
      </c>
      <c r="D289" s="1" t="n">
        <v>45160</v>
      </c>
      <c r="E289" s="1" t="n">
        <v>46326</v>
      </c>
      <c r="F289" t="inlineStr">
        <is>
          <t>KALMAR LÄN</t>
        </is>
      </c>
      <c r="G289" t="inlineStr">
        <is>
          <t>MÖNSTERÅS</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24312-2026</t>
        </is>
      </c>
      <c r="B290" t="inlineStr">
        <is>
          <t>avverkningsanmälan</t>
        </is>
      </c>
      <c r="C290" t="inlineStr">
        <is>
          <t>Föryngringsavverkning</t>
        </is>
      </c>
      <c r="D290" s="1" t="n">
        <v>46169</v>
      </c>
      <c r="E290" s="1" t="n">
        <v>46326</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15348-2024</t>
        </is>
      </c>
      <c r="B291" t="inlineStr">
        <is>
          <t>avverkningsanmälan</t>
        </is>
      </c>
      <c r="C291" t="inlineStr">
        <is>
          <t>Föryngringsavverkning</t>
        </is>
      </c>
      <c r="D291" s="1" t="n">
        <v>45400</v>
      </c>
      <c r="E291" s="1" t="n">
        <v>46326</v>
      </c>
      <c r="F291" t="inlineStr">
        <is>
          <t>KALMAR LÄN</t>
        </is>
      </c>
      <c r="G291" t="inlineStr">
        <is>
          <t>MÖNSTERÅS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59289-2022</t>
        </is>
      </c>
      <c r="B292" t="inlineStr">
        <is>
          <t>avverkningsanmälan</t>
        </is>
      </c>
      <c r="C292" t="inlineStr">
        <is>
          <t>Föryngringsavverkning</t>
        </is>
      </c>
      <c r="D292" s="1" t="n">
        <v>44904</v>
      </c>
      <c r="E292" s="1" t="n">
        <v>46326</v>
      </c>
      <c r="F292" t="inlineStr">
        <is>
          <t>KALMAR LÄN</t>
        </is>
      </c>
      <c r="G292" t="inlineStr">
        <is>
          <t>MÖNSTERÅS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64339-2023</t>
        </is>
      </c>
      <c r="B293" t="inlineStr">
        <is>
          <t>avverkningsanmälan</t>
        </is>
      </c>
      <c r="C293" t="inlineStr">
        <is>
          <t>Föryngringsavverkning</t>
        </is>
      </c>
      <c r="D293" s="1" t="n">
        <v>45280</v>
      </c>
      <c r="E293" s="1" t="n">
        <v>46326</v>
      </c>
      <c r="F293" t="inlineStr">
        <is>
          <t>KALMAR LÄN</t>
        </is>
      </c>
      <c r="G293" t="inlineStr">
        <is>
          <t>MÖNSTERÅS</t>
        </is>
      </c>
      <c r="H293" t="inlineStr">
        <is>
          <t>Övriga Aktiebolag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23701-2023</t>
        </is>
      </c>
      <c r="B294" t="inlineStr">
        <is>
          <t>avverkningsanmälan</t>
        </is>
      </c>
      <c r="C294" t="inlineStr">
        <is>
          <t>Föryngringsavverkning</t>
        </is>
      </c>
      <c r="D294" s="1" t="n">
        <v>45075</v>
      </c>
      <c r="E294" s="1" t="n">
        <v>46326</v>
      </c>
      <c r="F294" t="inlineStr">
        <is>
          <t>KALMAR LÄN</t>
        </is>
      </c>
      <c r="G294" t="inlineStr">
        <is>
          <t>MÖNSTERÅS</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3559-2023</t>
        </is>
      </c>
      <c r="B295" t="inlineStr">
        <is>
          <t>avverkningsanmälan</t>
        </is>
      </c>
      <c r="C295" t="inlineStr">
        <is>
          <t>Föryngringsavverkning</t>
        </is>
      </c>
      <c r="D295" s="1" t="n">
        <v>44950</v>
      </c>
      <c r="E295" s="1" t="n">
        <v>46326</v>
      </c>
      <c r="F295" t="inlineStr">
        <is>
          <t>KALMAR LÄN</t>
        </is>
      </c>
      <c r="G295" t="inlineStr">
        <is>
          <t>MÖNSTERÅS</t>
        </is>
      </c>
      <c r="I295" t="n">
        <v>16.4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45065-2024</t>
        </is>
      </c>
      <c r="B296" t="inlineStr">
        <is>
          <t>avverkningsanmälan</t>
        </is>
      </c>
      <c r="C296" t="inlineStr">
        <is>
          <t>Föryngringsavverkning</t>
        </is>
      </c>
      <c r="D296" s="1" t="n">
        <v>45575</v>
      </c>
      <c r="E296" s="1" t="n">
        <v>46326</v>
      </c>
      <c r="F296" t="inlineStr">
        <is>
          <t>KALMAR LÄN</t>
        </is>
      </c>
      <c r="G296" t="inlineStr">
        <is>
          <t>MÖNSTERÅS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44317-2023</t>
        </is>
      </c>
      <c r="B297" t="inlineStr">
        <is>
          <t>avverkningsanmälan</t>
        </is>
      </c>
      <c r="C297" t="inlineStr">
        <is>
          <t>Föryngringsavverkning</t>
        </is>
      </c>
      <c r="D297" s="1" t="n">
        <v>45188</v>
      </c>
      <c r="E297" s="1" t="n">
        <v>46326</v>
      </c>
      <c r="F297" t="inlineStr">
        <is>
          <t>KALMAR LÄN</t>
        </is>
      </c>
      <c r="G297" t="inlineStr">
        <is>
          <t>MÖNSTERÅS</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25577-2023</t>
        </is>
      </c>
      <c r="B298" t="inlineStr">
        <is>
          <t>avverkningsanmälan</t>
        </is>
      </c>
      <c r="C298" t="inlineStr">
        <is>
          <t>Föryngringsavverkning</t>
        </is>
      </c>
      <c r="D298" s="1" t="n">
        <v>45089</v>
      </c>
      <c r="E298" s="1" t="n">
        <v>46326</v>
      </c>
      <c r="F298" t="inlineStr">
        <is>
          <t>KALMAR LÄN</t>
        </is>
      </c>
      <c r="G298" t="inlineStr">
        <is>
          <t>MÖNSTERÅS</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58720-2023</t>
        </is>
      </c>
      <c r="B299" t="inlineStr">
        <is>
          <t>avverkningsanmälan</t>
        </is>
      </c>
      <c r="C299" t="inlineStr">
        <is>
          <t>Föryngringsavverkning</t>
        </is>
      </c>
      <c r="D299" s="1" t="n">
        <v>45251</v>
      </c>
      <c r="E299" s="1" t="n">
        <v>46326</v>
      </c>
      <c r="F299" t="inlineStr">
        <is>
          <t>KALMAR LÄN</t>
        </is>
      </c>
      <c r="G299" t="inlineStr">
        <is>
          <t>MÖNSTERÅS</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51533-2022</t>
        </is>
      </c>
      <c r="B300" t="inlineStr">
        <is>
          <t>avverkningsanmälan</t>
        </is>
      </c>
      <c r="C300" t="inlineStr">
        <is>
          <t>Föryngringsavverkning</t>
        </is>
      </c>
      <c r="D300" s="1" t="n">
        <v>44869</v>
      </c>
      <c r="E300" s="1" t="n">
        <v>46326</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7978-2024</t>
        </is>
      </c>
      <c r="B301" t="inlineStr">
        <is>
          <t>avverkningsanmälan</t>
        </is>
      </c>
      <c r="C301" t="inlineStr">
        <is>
          <t>Föryngringsavverkning</t>
        </is>
      </c>
      <c r="D301" s="1" t="n">
        <v>45350</v>
      </c>
      <c r="E301" s="1" t="n">
        <v>46326</v>
      </c>
      <c r="F301" t="inlineStr">
        <is>
          <t>KALMAR LÄN</t>
        </is>
      </c>
      <c r="G301" t="inlineStr">
        <is>
          <t>MÖNSTERÅS</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22377-2022</t>
        </is>
      </c>
      <c r="B302" t="inlineStr">
        <is>
          <t>avverkningsanmälan</t>
        </is>
      </c>
      <c r="C302" t="inlineStr">
        <is>
          <t>Föryngringsavverkning</t>
        </is>
      </c>
      <c r="D302" s="1" t="n">
        <v>44713</v>
      </c>
      <c r="E302" s="1" t="n">
        <v>46326</v>
      </c>
      <c r="F302" t="inlineStr">
        <is>
          <t>KALMAR LÄN</t>
        </is>
      </c>
      <c r="G302" t="inlineStr">
        <is>
          <t>MÖNSTERÅS</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37376-2023</t>
        </is>
      </c>
      <c r="B303" t="inlineStr">
        <is>
          <t>avverkningsanmälan</t>
        </is>
      </c>
      <c r="C303" t="inlineStr">
        <is>
          <t>Föryngringsavverkning</t>
        </is>
      </c>
      <c r="D303" s="1" t="n">
        <v>45155</v>
      </c>
      <c r="E303" s="1" t="n">
        <v>46326</v>
      </c>
      <c r="F303" t="inlineStr">
        <is>
          <t>KALMAR LÄN</t>
        </is>
      </c>
      <c r="G303" t="inlineStr">
        <is>
          <t>MÖNSTERÅS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42927-2023</t>
        </is>
      </c>
      <c r="B304" t="inlineStr">
        <is>
          <t>avverkningsanmälan</t>
        </is>
      </c>
      <c r="C304" t="inlineStr">
        <is>
          <t>Föryngringsavverkning</t>
        </is>
      </c>
      <c r="D304" s="1" t="n">
        <v>45182</v>
      </c>
      <c r="E304" s="1" t="n">
        <v>46326</v>
      </c>
      <c r="F304" t="inlineStr">
        <is>
          <t>KALMAR LÄN</t>
        </is>
      </c>
      <c r="G304" t="inlineStr">
        <is>
          <t>MÖNSTERÅS</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27564-2026</t>
        </is>
      </c>
      <c r="B305" t="inlineStr">
        <is>
          <t>avverkningsanmälan</t>
        </is>
      </c>
      <c r="C305" t="inlineStr">
        <is>
          <t>Föryngringsavverkning</t>
        </is>
      </c>
      <c r="D305" s="1" t="n">
        <v>46190</v>
      </c>
      <c r="E305" s="1" t="n">
        <v>46326</v>
      </c>
      <c r="F305" t="inlineStr">
        <is>
          <t>KALMAR LÄN</t>
        </is>
      </c>
      <c r="G305" t="inlineStr">
        <is>
          <t>MÖNSTERÅS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22839-2026</t>
        </is>
      </c>
      <c r="B306" t="inlineStr">
        <is>
          <t>avverkningsanmälan</t>
        </is>
      </c>
      <c r="C306" t="inlineStr">
        <is>
          <t>Föryngringsavverkning</t>
        </is>
      </c>
      <c r="D306" s="1" t="n">
        <v>46160</v>
      </c>
      <c r="E306" s="1" t="n">
        <v>46326</v>
      </c>
      <c r="F306" t="inlineStr">
        <is>
          <t>KALMAR LÄN</t>
        </is>
      </c>
      <c r="G306" t="inlineStr">
        <is>
          <t>MÖNSTERÅS</t>
        </is>
      </c>
      <c r="H306" t="inlineStr">
        <is>
          <t>Kommuner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28118-2026</t>
        </is>
      </c>
      <c r="B307" t="inlineStr">
        <is>
          <t>avverkningsanmälan</t>
        </is>
      </c>
      <c r="C307" t="inlineStr">
        <is>
          <t>Föryngringsavverkning</t>
        </is>
      </c>
      <c r="D307" s="1" t="n">
        <v>46195</v>
      </c>
      <c r="E307" s="1" t="n">
        <v>46326</v>
      </c>
      <c r="F307" t="inlineStr">
        <is>
          <t>KALMAR LÄN</t>
        </is>
      </c>
      <c r="G307" t="inlineStr">
        <is>
          <t>MÖNSTERÅS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24636-2026</t>
        </is>
      </c>
      <c r="B308" t="inlineStr">
        <is>
          <t>avverkningsanmälan</t>
        </is>
      </c>
      <c r="C308" t="inlineStr">
        <is>
          <t>Föryngringsavverkning</t>
        </is>
      </c>
      <c r="D308" s="1" t="n">
        <v>46171</v>
      </c>
      <c r="E308" s="1" t="n">
        <v>46326</v>
      </c>
      <c r="F308" t="inlineStr">
        <is>
          <t>KALMAR LÄN</t>
        </is>
      </c>
      <c r="G308" t="inlineStr">
        <is>
          <t>MÖNSTERÅS</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28103-2026</t>
        </is>
      </c>
      <c r="B309" t="inlineStr">
        <is>
          <t>avverkningsanmälan</t>
        </is>
      </c>
      <c r="C309" t="inlineStr">
        <is>
          <t>Föryngringsavverkning</t>
        </is>
      </c>
      <c r="D309" s="1" t="n">
        <v>46195</v>
      </c>
      <c r="E309" s="1" t="n">
        <v>46326</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37250-2024</t>
        </is>
      </c>
      <c r="B310" t="inlineStr">
        <is>
          <t>avverkningsanmälan</t>
        </is>
      </c>
      <c r="C310" t="inlineStr">
        <is>
          <t>Föryngringsavverkning</t>
        </is>
      </c>
      <c r="D310" s="1" t="n">
        <v>45540</v>
      </c>
      <c r="E310" s="1" t="n">
        <v>46326</v>
      </c>
      <c r="F310" t="inlineStr">
        <is>
          <t>KALMAR LÄN</t>
        </is>
      </c>
      <c r="G310" t="inlineStr">
        <is>
          <t>MÖNSTERÅS</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28543-2026</t>
        </is>
      </c>
      <c r="B311" t="inlineStr">
        <is>
          <t>avverkningsanmälan</t>
        </is>
      </c>
      <c r="C311" t="inlineStr">
        <is>
          <t>Föryngringsavverkning</t>
        </is>
      </c>
      <c r="D311" s="1" t="n">
        <v>46197</v>
      </c>
      <c r="E311" s="1" t="n">
        <v>46326</v>
      </c>
      <c r="F311" t="inlineStr">
        <is>
          <t>KALMAR LÄN</t>
        </is>
      </c>
      <c r="G311" t="inlineStr">
        <is>
          <t>MÖNSTERÅS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45504-2023</t>
        </is>
      </c>
      <c r="B312" t="inlineStr">
        <is>
          <t>avverkningsanmälan</t>
        </is>
      </c>
      <c r="C312" t="inlineStr">
        <is>
          <t>Föryngringsavverkning</t>
        </is>
      </c>
      <c r="D312" s="1" t="n">
        <v>45188</v>
      </c>
      <c r="E312" s="1" t="n">
        <v>46326</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28368-2026</t>
        </is>
      </c>
      <c r="B313" t="inlineStr">
        <is>
          <t>avverkningsanmälan</t>
        </is>
      </c>
      <c r="C313" t="inlineStr">
        <is>
          <t>Föryngringsavverkning</t>
        </is>
      </c>
      <c r="D313" s="1" t="n">
        <v>46196</v>
      </c>
      <c r="E313" s="1" t="n">
        <v>46326</v>
      </c>
      <c r="F313" t="inlineStr">
        <is>
          <t>KALMAR LÄN</t>
        </is>
      </c>
      <c r="G313" t="inlineStr">
        <is>
          <t>MÖNSTERÅS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27077-2022</t>
        </is>
      </c>
      <c r="B314" t="inlineStr">
        <is>
          <t>avverkningsanmälan</t>
        </is>
      </c>
      <c r="C314" t="inlineStr">
        <is>
          <t>Föryngringsavverkning</t>
        </is>
      </c>
      <c r="D314" s="1" t="n">
        <v>44741</v>
      </c>
      <c r="E314" s="1" t="n">
        <v>46326</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36361-2023</t>
        </is>
      </c>
      <c r="B315" t="inlineStr">
        <is>
          <t>avverkningsanmälan</t>
        </is>
      </c>
      <c r="C315" t="inlineStr">
        <is>
          <t>Föryngringsavverkning</t>
        </is>
      </c>
      <c r="D315" s="1" t="n">
        <v>45152</v>
      </c>
      <c r="E315" s="1" t="n">
        <v>46326</v>
      </c>
      <c r="F315" t="inlineStr">
        <is>
          <t>KALMAR LÄN</t>
        </is>
      </c>
      <c r="G315" t="inlineStr">
        <is>
          <t>MÖNSTERÅS</t>
        </is>
      </c>
      <c r="H315" t="inlineStr">
        <is>
          <t>Kommuner</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3759-2024</t>
        </is>
      </c>
      <c r="B316" t="inlineStr">
        <is>
          <t>avverkningsanmälan</t>
        </is>
      </c>
      <c r="C316" t="inlineStr">
        <is>
          <t>Föryngringsavverkning</t>
        </is>
      </c>
      <c r="D316" s="1" t="n">
        <v>45321</v>
      </c>
      <c r="E316" s="1" t="n">
        <v>46326</v>
      </c>
      <c r="F316" t="inlineStr">
        <is>
          <t>KALMAR LÄN</t>
        </is>
      </c>
      <c r="G316" t="inlineStr">
        <is>
          <t>MÖNSTERÅS</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59159-2023</t>
        </is>
      </c>
      <c r="B317" t="inlineStr">
        <is>
          <t>avverkningsanmälan</t>
        </is>
      </c>
      <c r="C317" t="inlineStr">
        <is>
          <t>Föryngringsavverkning</t>
        </is>
      </c>
      <c r="D317" s="1" t="n">
        <v>45251</v>
      </c>
      <c r="E317" s="1" t="n">
        <v>46326</v>
      </c>
      <c r="F317" t="inlineStr">
        <is>
          <t>KALMAR LÄN</t>
        </is>
      </c>
      <c r="G317" t="inlineStr">
        <is>
          <t>MÖNSTERÅS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62280-2022</t>
        </is>
      </c>
      <c r="B318" t="inlineStr">
        <is>
          <t>avverkningsanmälan</t>
        </is>
      </c>
      <c r="C318" t="inlineStr">
        <is>
          <t>Föryngringsavverkning</t>
        </is>
      </c>
      <c r="D318" s="1" t="n">
        <v>44923</v>
      </c>
      <c r="E318" s="1" t="n">
        <v>46326</v>
      </c>
      <c r="F318" t="inlineStr">
        <is>
          <t>KALMAR LÄN</t>
        </is>
      </c>
      <c r="G318" t="inlineStr">
        <is>
          <t>MÖNSTERÅS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1889-2023</t>
        </is>
      </c>
      <c r="B319" t="inlineStr">
        <is>
          <t>avverkningsanmälan</t>
        </is>
      </c>
      <c r="C319" t="inlineStr">
        <is>
          <t>Föryngringsavverkning</t>
        </is>
      </c>
      <c r="D319" s="1" t="n">
        <v>44939</v>
      </c>
      <c r="E319" s="1" t="n">
        <v>46326</v>
      </c>
      <c r="F319" t="inlineStr">
        <is>
          <t>KALMAR LÄN</t>
        </is>
      </c>
      <c r="G319" t="inlineStr">
        <is>
          <t>MÖNSTERÅS</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29303-2026</t>
        </is>
      </c>
      <c r="B320" t="inlineStr">
        <is>
          <t>avverkningsanmälan</t>
        </is>
      </c>
      <c r="C320" t="inlineStr">
        <is>
          <t>Föryngringsavverkning</t>
        </is>
      </c>
      <c r="D320" s="1" t="n">
        <v>46202</v>
      </c>
      <c r="E320" s="1" t="n">
        <v>46326</v>
      </c>
      <c r="F320" t="inlineStr">
        <is>
          <t>KALMAR LÄN</t>
        </is>
      </c>
      <c r="G320" t="inlineStr">
        <is>
          <t>MÖNSTERÅS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4104-2024</t>
        </is>
      </c>
      <c r="B321" t="inlineStr">
        <is>
          <t>avverkningsanmälan</t>
        </is>
      </c>
      <c r="C321" t="inlineStr">
        <is>
          <t>Föryngringsavverkning</t>
        </is>
      </c>
      <c r="D321" s="1" t="n">
        <v>45323</v>
      </c>
      <c r="E321" s="1" t="n">
        <v>46326</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26701-2022</t>
        </is>
      </c>
      <c r="B322" t="inlineStr">
        <is>
          <t>avverkningsanmälan</t>
        </is>
      </c>
      <c r="C322" t="inlineStr">
        <is>
          <t>Föryngringsavverkning</t>
        </is>
      </c>
      <c r="D322" s="1" t="n">
        <v>44739</v>
      </c>
      <c r="E322" s="1" t="n">
        <v>46326</v>
      </c>
      <c r="F322" t="inlineStr">
        <is>
          <t>KALMAR LÄN</t>
        </is>
      </c>
      <c r="G322" t="inlineStr">
        <is>
          <t>MÖNSTERÅS</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50914-2023</t>
        </is>
      </c>
      <c r="B323" t="inlineStr">
        <is>
          <t>avverkningsanmälan</t>
        </is>
      </c>
      <c r="C323" t="inlineStr">
        <is>
          <t>Avverkning för annat ändamål</t>
        </is>
      </c>
      <c r="D323" s="1" t="n">
        <v>45218</v>
      </c>
      <c r="E323" s="1" t="n">
        <v>46326</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29570-2026</t>
        </is>
      </c>
      <c r="B324" t="inlineStr">
        <is>
          <t>avverkningsanmälan</t>
        </is>
      </c>
      <c r="C324" t="inlineStr">
        <is>
          <t>Föryngringsavverkning</t>
        </is>
      </c>
      <c r="D324" s="1" t="n">
        <v>46204</v>
      </c>
      <c r="E324" s="1" t="n">
        <v>46326</v>
      </c>
      <c r="F324" t="inlineStr">
        <is>
          <t>KALMAR LÄN</t>
        </is>
      </c>
      <c r="G324" t="inlineStr">
        <is>
          <t>MÖNSTERÅS</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29812-2026</t>
        </is>
      </c>
      <c r="B325" t="inlineStr">
        <is>
          <t>avverkningsanmälan</t>
        </is>
      </c>
      <c r="C325" t="inlineStr">
        <is>
          <t>Föryngringsavverkning</t>
        </is>
      </c>
      <c r="D325" s="1" t="n">
        <v>46205</v>
      </c>
      <c r="E325" s="1" t="n">
        <v>46326</v>
      </c>
      <c r="F325" t="inlineStr">
        <is>
          <t>KALMAR LÄN</t>
        </is>
      </c>
      <c r="G325" t="inlineStr">
        <is>
          <t>MÖNSTERÅS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18346-2026</t>
        </is>
      </c>
      <c r="B326" t="inlineStr">
        <is>
          <t>avverkningsanmälan</t>
        </is>
      </c>
      <c r="C326" t="inlineStr">
        <is>
          <t>Avverkning för annat ändamål</t>
        </is>
      </c>
      <c r="D326" s="1" t="n">
        <v>46126</v>
      </c>
      <c r="E326" s="1" t="n">
        <v>46326</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40991-2024</t>
        </is>
      </c>
      <c r="B327" t="inlineStr">
        <is>
          <t>avverkningsanmälan</t>
        </is>
      </c>
      <c r="C327" t="inlineStr">
        <is>
          <t>Föryngringsavverkning</t>
        </is>
      </c>
      <c r="D327" s="1" t="n">
        <v>45558</v>
      </c>
      <c r="E327" s="1" t="n">
        <v>46326</v>
      </c>
      <c r="F327" t="inlineStr">
        <is>
          <t>KALMAR LÄN</t>
        </is>
      </c>
      <c r="G327" t="inlineStr">
        <is>
          <t>MÖNSTERÅS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51804-2022</t>
        </is>
      </c>
      <c r="B328" t="inlineStr">
        <is>
          <t>avverkningsanmälan</t>
        </is>
      </c>
      <c r="C328" t="inlineStr">
        <is>
          <t>Föryngringsavverkning</t>
        </is>
      </c>
      <c r="D328" s="1" t="n">
        <v>44872</v>
      </c>
      <c r="E328" s="1" t="n">
        <v>46326</v>
      </c>
      <c r="F328" t="inlineStr">
        <is>
          <t>KALMAR LÄN</t>
        </is>
      </c>
      <c r="G328" t="inlineStr">
        <is>
          <t>MÖNSTERÅS</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61009-2024</t>
        </is>
      </c>
      <c r="B329" t="inlineStr">
        <is>
          <t>avverkningsanmälan</t>
        </is>
      </c>
      <c r="C329" t="inlineStr">
        <is>
          <t>Föryngringsavverkning</t>
        </is>
      </c>
      <c r="D329" s="1" t="n">
        <v>45645</v>
      </c>
      <c r="E329" s="1" t="n">
        <v>46326</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31754-2023</t>
        </is>
      </c>
      <c r="B330" t="inlineStr">
        <is>
          <t>avverkningsanmälan</t>
        </is>
      </c>
      <c r="C330" t="inlineStr">
        <is>
          <t>Föryngringsavverkning</t>
        </is>
      </c>
      <c r="D330" s="1" t="n">
        <v>45106</v>
      </c>
      <c r="E330" s="1" t="n">
        <v>46326</v>
      </c>
      <c r="F330" t="inlineStr">
        <is>
          <t>KALMAR LÄN</t>
        </is>
      </c>
      <c r="G330" t="inlineStr">
        <is>
          <t>MÖNSTERÅS</t>
        </is>
      </c>
      <c r="H330" t="inlineStr">
        <is>
          <t>Kyrkan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31833-2026</t>
        </is>
      </c>
      <c r="B331" t="inlineStr">
        <is>
          <t>avverkningsanmälan</t>
        </is>
      </c>
      <c r="C331" t="inlineStr">
        <is>
          <t>Föryngringsavverkning</t>
        </is>
      </c>
      <c r="D331" s="1" t="n">
        <v>46230</v>
      </c>
      <c r="E331" s="1" t="n">
        <v>46326</v>
      </c>
      <c r="F331" t="inlineStr">
        <is>
          <t>KALMAR LÄN</t>
        </is>
      </c>
      <c r="G331" t="inlineStr">
        <is>
          <t>MÖNSTERÅS</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29957-2022</t>
        </is>
      </c>
      <c r="B332" t="inlineStr">
        <is>
          <t>avverkningsanmälan</t>
        </is>
      </c>
      <c r="C332" t="inlineStr">
        <is>
          <t>Föryngringsavverkning</t>
        </is>
      </c>
      <c r="D332" s="1" t="n">
        <v>44756</v>
      </c>
      <c r="E332" s="1" t="n">
        <v>46326</v>
      </c>
      <c r="F332" t="inlineStr">
        <is>
          <t>KALMAR LÄN</t>
        </is>
      </c>
      <c r="G332" t="inlineStr">
        <is>
          <t>MÖNSTERÅS</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19023-2025</t>
        </is>
      </c>
      <c r="B333" t="inlineStr">
        <is>
          <t>avverkningsanmälan</t>
        </is>
      </c>
      <c r="C333" t="inlineStr">
        <is>
          <t>Föryngringsavverkning</t>
        </is>
      </c>
      <c r="D333" s="1" t="n">
        <v>45764</v>
      </c>
      <c r="E333" s="1" t="n">
        <v>46326</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35135-2023</t>
        </is>
      </c>
      <c r="B334" t="inlineStr">
        <is>
          <t>avverkningsanmälan</t>
        </is>
      </c>
      <c r="C334" t="inlineStr">
        <is>
          <t>Föryngringsavverkning</t>
        </is>
      </c>
      <c r="D334" s="1" t="n">
        <v>45145</v>
      </c>
      <c r="E334" s="1" t="n">
        <v>46326</v>
      </c>
      <c r="F334" t="inlineStr">
        <is>
          <t>KALMAR LÄN</t>
        </is>
      </c>
      <c r="G334" t="inlineStr">
        <is>
          <t>MÖNSTERÅS</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762-2023</t>
        </is>
      </c>
      <c r="B335" t="inlineStr">
        <is>
          <t>avverkningsanmälan</t>
        </is>
      </c>
      <c r="C335" t="inlineStr">
        <is>
          <t>Föryngringsavverkning</t>
        </is>
      </c>
      <c r="D335" s="1" t="n">
        <v>44931</v>
      </c>
      <c r="E335" s="1" t="n">
        <v>46326</v>
      </c>
      <c r="F335" t="inlineStr">
        <is>
          <t>KALMAR LÄN</t>
        </is>
      </c>
      <c r="G335" t="inlineStr">
        <is>
          <t>MÖNSTERÅS</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32376-2026</t>
        </is>
      </c>
      <c r="B336" t="inlineStr">
        <is>
          <t>avverkningsanmälan</t>
        </is>
      </c>
      <c r="C336" t="inlineStr">
        <is>
          <t>Föryngringsavverkning</t>
        </is>
      </c>
      <c r="D336" s="1" t="n">
        <v>46238</v>
      </c>
      <c r="E336" s="1" t="n">
        <v>46326</v>
      </c>
      <c r="F336" t="inlineStr">
        <is>
          <t>KALMAR LÄN</t>
        </is>
      </c>
      <c r="G336" t="inlineStr">
        <is>
          <t>MÖNSTERÅS</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16437-2023</t>
        </is>
      </c>
      <c r="B337" t="inlineStr">
        <is>
          <t>avverkningsanmälan</t>
        </is>
      </c>
      <c r="C337" t="inlineStr">
        <is>
          <t>Föryngringsavverkning</t>
        </is>
      </c>
      <c r="D337" s="1" t="n">
        <v>45022</v>
      </c>
      <c r="E337" s="1" t="n">
        <v>46326</v>
      </c>
      <c r="F337" t="inlineStr">
        <is>
          <t>KALMAR LÄN</t>
        </is>
      </c>
      <c r="G337" t="inlineStr">
        <is>
          <t>MÖNSTERÅS</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13047-2022</t>
        </is>
      </c>
      <c r="B338" t="inlineStr">
        <is>
          <t>avverkningsanmälan</t>
        </is>
      </c>
      <c r="C338" t="inlineStr">
        <is>
          <t>Föryngringsavverkning</t>
        </is>
      </c>
      <c r="D338" s="1" t="n">
        <v>44643</v>
      </c>
      <c r="E338" s="1" t="n">
        <v>46326</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55576-2023</t>
        </is>
      </c>
      <c r="B339" t="inlineStr">
        <is>
          <t>avverkningsanmälan</t>
        </is>
      </c>
      <c r="C339" t="inlineStr">
        <is>
          <t>Föryngringsavverkning</t>
        </is>
      </c>
      <c r="D339" s="1" t="n">
        <v>45238</v>
      </c>
      <c r="E339" s="1" t="n">
        <v>46326</v>
      </c>
      <c r="F339" t="inlineStr">
        <is>
          <t>KALMAR LÄN</t>
        </is>
      </c>
      <c r="G339" t="inlineStr">
        <is>
          <t>MÖNSTERÅS</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19947-2023</t>
        </is>
      </c>
      <c r="B340" t="inlineStr">
        <is>
          <t>avverkningsanmälan</t>
        </is>
      </c>
      <c r="C340" t="inlineStr">
        <is>
          <t>Föryngringsavverkning</t>
        </is>
      </c>
      <c r="D340" s="1" t="n">
        <v>45054</v>
      </c>
      <c r="E340" s="1" t="n">
        <v>46326</v>
      </c>
      <c r="F340" t="inlineStr">
        <is>
          <t>KALMAR LÄN</t>
        </is>
      </c>
      <c r="G340" t="inlineStr">
        <is>
          <t>MÖNSTERÅS</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44322-2023</t>
        </is>
      </c>
      <c r="B341" t="inlineStr">
        <is>
          <t>avverkningsanmälan</t>
        </is>
      </c>
      <c r="C341" t="inlineStr">
        <is>
          <t>Föryngringsavverkning</t>
        </is>
      </c>
      <c r="D341" s="1" t="n">
        <v>45188</v>
      </c>
      <c r="E341" s="1" t="n">
        <v>46326</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33148-2026</t>
        </is>
      </c>
      <c r="B342" t="inlineStr">
        <is>
          <t>avverkningsanmälan</t>
        </is>
      </c>
      <c r="C342" t="inlineStr">
        <is>
          <t>Föryngringsavverkning</t>
        </is>
      </c>
      <c r="D342" s="1" t="n">
        <v>46244</v>
      </c>
      <c r="E342" s="1" t="n">
        <v>46326</v>
      </c>
      <c r="F342" t="inlineStr">
        <is>
          <t>KALMAR LÄN</t>
        </is>
      </c>
      <c r="G342" t="inlineStr">
        <is>
          <t>MÖNSTERÅS</t>
        </is>
      </c>
      <c r="H342" t="inlineStr">
        <is>
          <t>Övriga Aktiebolag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15598-2025</t>
        </is>
      </c>
      <c r="B343" t="inlineStr">
        <is>
          <t>avverkningsanmälan</t>
        </is>
      </c>
      <c r="C343" t="inlineStr">
        <is>
          <t>Föryngringsavverkning</t>
        </is>
      </c>
      <c r="D343" s="1" t="n">
        <v>45747</v>
      </c>
      <c r="E343" s="1" t="n">
        <v>46326</v>
      </c>
      <c r="F343" t="inlineStr">
        <is>
          <t>KALMAR LÄN</t>
        </is>
      </c>
      <c r="G343" t="inlineStr">
        <is>
          <t>MÖNSTERÅS</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61198-2022</t>
        </is>
      </c>
      <c r="B344" t="inlineStr">
        <is>
          <t>avverkningsanmälan</t>
        </is>
      </c>
      <c r="C344" t="inlineStr">
        <is>
          <t>Föryngringsavverkning</t>
        </is>
      </c>
      <c r="D344" s="1" t="n">
        <v>44915</v>
      </c>
      <c r="E344" s="1" t="n">
        <v>46326</v>
      </c>
      <c r="F344" t="inlineStr">
        <is>
          <t>KALMAR LÄN</t>
        </is>
      </c>
      <c r="G344" t="inlineStr">
        <is>
          <t>MÖNSTERÅS</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39379-2026</t>
        </is>
      </c>
      <c r="B345" t="inlineStr">
        <is>
          <t>avverkningsanmälan</t>
        </is>
      </c>
      <c r="C345" t="inlineStr">
        <is>
          <t>Föryngringsavverkning</t>
        </is>
      </c>
      <c r="D345" s="1" t="n">
        <v>46288</v>
      </c>
      <c r="E345" s="1" t="n">
        <v>46326</v>
      </c>
      <c r="F345" t="inlineStr">
        <is>
          <t>KALMAR LÄN</t>
        </is>
      </c>
      <c r="G345" t="inlineStr">
        <is>
          <t>MÖNSTERÅS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33280-2026</t>
        </is>
      </c>
      <c r="B346" t="inlineStr">
        <is>
          <t>avverkningsanmälan</t>
        </is>
      </c>
      <c r="C346" t="inlineStr">
        <is>
          <t>Föryngringsavverkning</t>
        </is>
      </c>
      <c r="D346" s="1" t="n">
        <v>46246</v>
      </c>
      <c r="E346" s="1" t="n">
        <v>46326</v>
      </c>
      <c r="F346" t="inlineStr">
        <is>
          <t>KALMAR LÄN</t>
        </is>
      </c>
      <c r="G346" t="inlineStr">
        <is>
          <t>MÖNSTERÅS</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9367-2025</t>
        </is>
      </c>
      <c r="B347" t="inlineStr">
        <is>
          <t>avverkningsanmälan</t>
        </is>
      </c>
      <c r="C347" t="inlineStr">
        <is>
          <t>Föryngringsavverkning</t>
        </is>
      </c>
      <c r="D347" s="1" t="n">
        <v>45715</v>
      </c>
      <c r="E347" s="1" t="n">
        <v>46326</v>
      </c>
      <c r="F347" t="inlineStr">
        <is>
          <t>KALMAR LÄN</t>
        </is>
      </c>
      <c r="G347" t="inlineStr">
        <is>
          <t>MÖNSTERÅS</t>
        </is>
      </c>
      <c r="I347" t="n">
        <v>15.2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1653-2025</t>
        </is>
      </c>
      <c r="B348" t="inlineStr">
        <is>
          <t>avverkningsanmälan</t>
        </is>
      </c>
      <c r="C348" t="inlineStr">
        <is>
          <t>Föryngringsavverkning</t>
        </is>
      </c>
      <c r="D348" s="1" t="n">
        <v>45670</v>
      </c>
      <c r="E348" s="1" t="n">
        <v>46326</v>
      </c>
      <c r="F348" t="inlineStr">
        <is>
          <t>KALMAR LÄN</t>
        </is>
      </c>
      <c r="G348" t="inlineStr">
        <is>
          <t>MÖNSTERÅS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26061-2023</t>
        </is>
      </c>
      <c r="B349" t="inlineStr">
        <is>
          <t>avverkningsanmälan</t>
        </is>
      </c>
      <c r="C349" t="inlineStr">
        <is>
          <t>Föryngringsavverkning</t>
        </is>
      </c>
      <c r="D349" s="1" t="n">
        <v>45091</v>
      </c>
      <c r="E349" s="1" t="n">
        <v>46326</v>
      </c>
      <c r="F349" t="inlineStr">
        <is>
          <t>KALMAR LÄN</t>
        </is>
      </c>
      <c r="G349" t="inlineStr">
        <is>
          <t>MÖNSTERÅS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41581-2024</t>
        </is>
      </c>
      <c r="B350" t="inlineStr">
        <is>
          <t>avverkningsanmälan</t>
        </is>
      </c>
      <c r="C350" t="inlineStr">
        <is>
          <t>Föryngringsavverkning</t>
        </is>
      </c>
      <c r="D350" s="1" t="n">
        <v>45560</v>
      </c>
      <c r="E350" s="1" t="n">
        <v>46326</v>
      </c>
      <c r="F350" t="inlineStr">
        <is>
          <t>KALMAR LÄN</t>
        </is>
      </c>
      <c r="G350" t="inlineStr">
        <is>
          <t>MÖNSTERÅS</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33517-2026</t>
        </is>
      </c>
      <c r="B351" t="inlineStr">
        <is>
          <t>avverkningsanmälan</t>
        </is>
      </c>
      <c r="C351" t="inlineStr">
        <is>
          <t>Avverkning för annat ändamål</t>
        </is>
      </c>
      <c r="D351" s="1" t="n">
        <v>46248</v>
      </c>
      <c r="E351" s="1" t="n">
        <v>46326</v>
      </c>
      <c r="F351" t="inlineStr">
        <is>
          <t>KALMAR LÄN</t>
        </is>
      </c>
      <c r="G351" t="inlineStr">
        <is>
          <t>MÖNSTERÅS</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24311-2026</t>
        </is>
      </c>
      <c r="B352" t="inlineStr">
        <is>
          <t>avverkningsanmälan</t>
        </is>
      </c>
      <c r="C352" t="inlineStr">
        <is>
          <t>Föryngringsavverkning</t>
        </is>
      </c>
      <c r="D352" s="1" t="n">
        <v>46169</v>
      </c>
      <c r="E352" s="1" t="n">
        <v>46326</v>
      </c>
      <c r="F352" t="inlineStr">
        <is>
          <t>KALMAR LÄN</t>
        </is>
      </c>
      <c r="G352" t="inlineStr">
        <is>
          <t>MÖNSTERÅS</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61018-2025</t>
        </is>
      </c>
      <c r="B353" t="inlineStr">
        <is>
          <t>avverkningsanmälan</t>
        </is>
      </c>
      <c r="C353" t="inlineStr">
        <is>
          <t>Föryngringsavverkning</t>
        </is>
      </c>
      <c r="D353" s="1" t="n">
        <v>45999</v>
      </c>
      <c r="E353" s="1" t="n">
        <v>46326</v>
      </c>
      <c r="F353" t="inlineStr">
        <is>
          <t>KALMAR LÄN</t>
        </is>
      </c>
      <c r="G353" t="inlineStr">
        <is>
          <t>MÖNSTERÅS</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61749-2024</t>
        </is>
      </c>
      <c r="B354" t="inlineStr">
        <is>
          <t>avverkningsanmälan</t>
        </is>
      </c>
      <c r="C354" t="inlineStr">
        <is>
          <t>Föryngringsavverkning</t>
        </is>
      </c>
      <c r="D354" s="1" t="n">
        <v>45649</v>
      </c>
      <c r="E354" s="1" t="n">
        <v>46326</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36607-2024</t>
        </is>
      </c>
      <c r="B355" t="inlineStr">
        <is>
          <t>avverkningsanmälan</t>
        </is>
      </c>
      <c r="C355" t="inlineStr">
        <is>
          <t>Föryngringsavverkning</t>
        </is>
      </c>
      <c r="D355" s="1" t="n">
        <v>45537</v>
      </c>
      <c r="E355" s="1" t="n">
        <v>46326</v>
      </c>
      <c r="F355" t="inlineStr">
        <is>
          <t>KALMAR LÄN</t>
        </is>
      </c>
      <c r="G355" t="inlineStr">
        <is>
          <t>MÖNSTERÅS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61490-2024</t>
        </is>
      </c>
      <c r="B356" t="inlineStr">
        <is>
          <t>avverkningsanmälan</t>
        </is>
      </c>
      <c r="C356" t="inlineStr">
        <is>
          <t>Föryngringsavverkning</t>
        </is>
      </c>
      <c r="D356" s="1" t="n">
        <v>45646</v>
      </c>
      <c r="E356" s="1" t="n">
        <v>46326</v>
      </c>
      <c r="F356" t="inlineStr">
        <is>
          <t>KALMAR LÄN</t>
        </is>
      </c>
      <c r="G356" t="inlineStr">
        <is>
          <t>MÖNSTERÅS</t>
        </is>
      </c>
      <c r="H356" t="inlineStr">
        <is>
          <t>Kommuner</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9215-2025</t>
        </is>
      </c>
      <c r="B357" t="inlineStr">
        <is>
          <t>avverkningsanmälan</t>
        </is>
      </c>
      <c r="C357" t="inlineStr">
        <is>
          <t>Föryngringsavverkning</t>
        </is>
      </c>
      <c r="D357" s="1" t="n">
        <v>45714</v>
      </c>
      <c r="E357" s="1" t="n">
        <v>46326</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61751-2024</t>
        </is>
      </c>
      <c r="B358" t="inlineStr">
        <is>
          <t>avverkningsanmälan</t>
        </is>
      </c>
      <c r="C358" t="inlineStr">
        <is>
          <t>Föryngringsavverkning</t>
        </is>
      </c>
      <c r="D358" s="1" t="n">
        <v>45649</v>
      </c>
      <c r="E358" s="1" t="n">
        <v>46326</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23009-2025</t>
        </is>
      </c>
      <c r="B359" t="inlineStr">
        <is>
          <t>avverkningsanmälan</t>
        </is>
      </c>
      <c r="C359" t="inlineStr">
        <is>
          <t>Föryngringsavverkning</t>
        </is>
      </c>
      <c r="D359" s="1" t="n">
        <v>45790</v>
      </c>
      <c r="E359" s="1" t="n">
        <v>46326</v>
      </c>
      <c r="F359" t="inlineStr">
        <is>
          <t>KALMAR LÄN</t>
        </is>
      </c>
      <c r="G359" t="inlineStr">
        <is>
          <t>MÖNSTERÅS</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8222-2025</t>
        </is>
      </c>
      <c r="B360" t="inlineStr">
        <is>
          <t>avverkningsanmälan</t>
        </is>
      </c>
      <c r="C360" t="inlineStr">
        <is>
          <t>Föryngringsavverkning</t>
        </is>
      </c>
      <c r="D360" s="1" t="n">
        <v>45708</v>
      </c>
      <c r="E360" s="1" t="n">
        <v>46326</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23566-2025</t>
        </is>
      </c>
      <c r="B361" t="inlineStr">
        <is>
          <t>avverkningsanmälan</t>
        </is>
      </c>
      <c r="C361" t="inlineStr">
        <is>
          <t>Föryngringsavverkning</t>
        </is>
      </c>
      <c r="D361" s="1" t="n">
        <v>45792</v>
      </c>
      <c r="E361" s="1" t="n">
        <v>46326</v>
      </c>
      <c r="F361" t="inlineStr">
        <is>
          <t>KALMAR LÄN</t>
        </is>
      </c>
      <c r="G361" t="inlineStr">
        <is>
          <t>MÖNSTERÅS</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23454-2025</t>
        </is>
      </c>
      <c r="B362" t="inlineStr">
        <is>
          <t>avverkningsanmälan</t>
        </is>
      </c>
      <c r="C362" t="inlineStr">
        <is>
          <t>Avverkning för annat ändamål</t>
        </is>
      </c>
      <c r="D362" s="1" t="n">
        <v>45792</v>
      </c>
      <c r="E362" s="1" t="n">
        <v>46326</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40643-2026</t>
        </is>
      </c>
      <c r="B363" t="inlineStr">
        <is>
          <t>avverkningsanmälan</t>
        </is>
      </c>
      <c r="C363" t="inlineStr">
        <is>
          <t>Föryngringsavverkning</t>
        </is>
      </c>
      <c r="D363" s="1" t="n">
        <v>46296</v>
      </c>
      <c r="E363" s="1" t="n">
        <v>46326</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34958-2026</t>
        </is>
      </c>
      <c r="B364" t="inlineStr">
        <is>
          <t>avverkningsanmälan</t>
        </is>
      </c>
      <c r="C364" t="inlineStr">
        <is>
          <t>Föryngringsavverkning</t>
        </is>
      </c>
      <c r="D364" s="1" t="n">
        <v>46255</v>
      </c>
      <c r="E364" s="1" t="n">
        <v>46326</v>
      </c>
      <c r="F364" t="inlineStr">
        <is>
          <t>KALMAR LÄN</t>
        </is>
      </c>
      <c r="G364" t="inlineStr">
        <is>
          <t>MÖNSTERÅS</t>
        </is>
      </c>
      <c r="H364" t="inlineStr">
        <is>
          <t>Kyrkan</t>
        </is>
      </c>
      <c r="I364" t="n">
        <v>4.5</v>
      </c>
      <c r="J364" t="n">
        <v>0</v>
      </c>
      <c r="K364" t="n">
        <v>0</v>
      </c>
      <c r="L364" t="n">
        <v>0</v>
      </c>
      <c r="M364" t="n">
        <v>0</v>
      </c>
      <c r="N364" t="n">
        <v>0</v>
      </c>
      <c r="O364" t="n">
        <v>0</v>
      </c>
      <c r="P364" t="n">
        <v>0</v>
      </c>
      <c r="Q364" t="n">
        <v>0</v>
      </c>
      <c r="R364" t="n">
        <v>0</v>
      </c>
      <c r="S364" t="n">
        <v>0</v>
      </c>
      <c r="T364" t="n">
        <v>0</v>
      </c>
      <c r="U364" t="n">
        <v>0</v>
      </c>
      <c r="V364" s="2" t="inlineStr"/>
      <c r="Z364">
        <f>HYPERLINK("https://klasma.github.io/Logging_0861/knärot/A 34958-2026 karta knärot.png", "A 34958-2026")</f>
        <v/>
      </c>
      <c r="AA364">
        <f>HYPERLINK("https://klasma.github.io/Logging_0861/klagomål/A 34958-2026 FSC-klagomål.docx", "A 34958-2026")</f>
        <v/>
      </c>
      <c r="AB364">
        <f>HYPERLINK("https://klasma.github.io/Logging_0861/klagomålsmail/A 34958-2026 FSC-klagomål mail.docx", "A 34958-2026")</f>
        <v/>
      </c>
      <c r="AC364">
        <f>HYPERLINK("https://klasma.github.io/Logging_0861/tillsyn/A 34958-2026 tillsynsbegäran.docx", "A 34958-2026")</f>
        <v/>
      </c>
      <c r="AD364">
        <f>HYPERLINK("https://klasma.github.io/Logging_0861/tillsynsmail/A 34958-2026 tillsynsbegäran mail.docx", "A 34958-2026")</f>
        <v/>
      </c>
    </row>
    <row r="365" ht="15" customHeight="1">
      <c r="A365" t="inlineStr">
        <is>
          <t>A 19934-2026</t>
        </is>
      </c>
      <c r="B365" t="inlineStr">
        <is>
          <t>avverkningsanmälan</t>
        </is>
      </c>
      <c r="C365" t="inlineStr">
        <is>
          <t>Föryngringsavverkning</t>
        </is>
      </c>
      <c r="D365" s="1" t="n">
        <v>46136</v>
      </c>
      <c r="E365" s="1" t="n">
        <v>46326</v>
      </c>
      <c r="F365" t="inlineStr">
        <is>
          <t>KALMAR LÄN</t>
        </is>
      </c>
      <c r="G365" t="inlineStr">
        <is>
          <t>MÖNSTERÅS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35527-2026</t>
        </is>
      </c>
      <c r="B366" t="inlineStr">
        <is>
          <t>avverkningsanmälan</t>
        </is>
      </c>
      <c r="C366" t="inlineStr">
        <is>
          <t>Avverkning för annat ändamål</t>
        </is>
      </c>
      <c r="D366" s="1" t="n">
        <v>46262</v>
      </c>
      <c r="E366" s="1" t="n">
        <v>46326</v>
      </c>
      <c r="F366" t="inlineStr">
        <is>
          <t>KALMAR LÄN</t>
        </is>
      </c>
      <c r="G366" t="inlineStr">
        <is>
          <t>MÖNSTERÅS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43839-2026</t>
        </is>
      </c>
      <c r="B367" t="inlineStr">
        <is>
          <t>avverkningsanmälan</t>
        </is>
      </c>
      <c r="C367" t="inlineStr">
        <is>
          <t>Föryngringsavverkning</t>
        </is>
      </c>
      <c r="D367" s="1" t="n">
        <v>46314</v>
      </c>
      <c r="E367" s="1" t="n">
        <v>46326</v>
      </c>
      <c r="F367" t="inlineStr">
        <is>
          <t>KALMAR LÄN</t>
        </is>
      </c>
      <c r="G367" t="inlineStr">
        <is>
          <t>MÖNSTERÅS</t>
        </is>
      </c>
      <c r="H367" t="inlineStr">
        <is>
          <t>Övriga Aktiebolag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38390-2026</t>
        </is>
      </c>
      <c r="B368" t="inlineStr">
        <is>
          <t>avverkningsanmälan</t>
        </is>
      </c>
      <c r="C368" t="inlineStr">
        <is>
          <t>Föryngringsavverkning</t>
        </is>
      </c>
      <c r="D368" s="1" t="n">
        <v>46282</v>
      </c>
      <c r="E368" s="1" t="n">
        <v>46326</v>
      </c>
      <c r="F368" t="inlineStr">
        <is>
          <t>KALMAR LÄN</t>
        </is>
      </c>
      <c r="G368" t="inlineStr">
        <is>
          <t>MÖNSTERÅS</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4981-2022</t>
        </is>
      </c>
      <c r="B369" t="inlineStr">
        <is>
          <t>avverkningsanmälan</t>
        </is>
      </c>
      <c r="C369" t="inlineStr">
        <is>
          <t>Föryngringsavverkning</t>
        </is>
      </c>
      <c r="D369" s="1" t="n">
        <v>44593</v>
      </c>
      <c r="E369" s="1" t="n">
        <v>46326</v>
      </c>
      <c r="F369" t="inlineStr">
        <is>
          <t>KALMAR LÄN</t>
        </is>
      </c>
      <c r="G369" t="inlineStr">
        <is>
          <t>MÖNSTERÅS</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1096-2022</t>
        </is>
      </c>
      <c r="B370" t="inlineStr">
        <is>
          <t>samrådsanmälan</t>
        </is>
      </c>
      <c r="C370" t="inlineStr">
        <is>
          <t>Askåterföring</t>
        </is>
      </c>
      <c r="D370" s="1" t="n">
        <v>44614</v>
      </c>
      <c r="E370" s="1" t="n">
        <v>46326</v>
      </c>
      <c r="F370" t="inlineStr">
        <is>
          <t>KALMAR LÄN</t>
        </is>
      </c>
      <c r="G370" t="inlineStr">
        <is>
          <t>MÖNSTERÅS</t>
        </is>
      </c>
      <c r="I370" t="n">
        <v>13.2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3230-2024</t>
        </is>
      </c>
      <c r="B371" t="inlineStr">
        <is>
          <t>samrådsanmälan</t>
        </is>
      </c>
      <c r="C371" t="inlineStr">
        <is>
          <t>Askåterföring</t>
        </is>
      </c>
      <c r="D371" s="1" t="n">
        <v>45525</v>
      </c>
      <c r="E371" s="1" t="n">
        <v>46326</v>
      </c>
      <c r="F371" t="inlineStr">
        <is>
          <t>KALMAR LÄN</t>
        </is>
      </c>
      <c r="G371" t="inlineStr">
        <is>
          <t>MÖNSTERÅS</t>
        </is>
      </c>
      <c r="I371" t="n">
        <v>15.5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764-2023</t>
        </is>
      </c>
      <c r="B372" t="inlineStr">
        <is>
          <t>samrådsanmälan</t>
        </is>
      </c>
      <c r="C372" t="inlineStr">
        <is>
          <t>Askåterföring</t>
        </is>
      </c>
      <c r="D372" s="1" t="n">
        <v>44981</v>
      </c>
      <c r="E372" s="1" t="n">
        <v>46326</v>
      </c>
      <c r="F372" t="inlineStr">
        <is>
          <t>KALMAR LÄN</t>
        </is>
      </c>
      <c r="G372" t="inlineStr">
        <is>
          <t>MÖNSTERÅS</t>
        </is>
      </c>
      <c r="I372" t="n">
        <v>32.7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2377-2024</t>
        </is>
      </c>
      <c r="B373" t="inlineStr">
        <is>
          <t>samrådsanmälan</t>
        </is>
      </c>
      <c r="C373" t="inlineStr">
        <is>
          <t>Askåterföring</t>
        </is>
      </c>
      <c r="D373" s="1" t="n">
        <v>45468</v>
      </c>
      <c r="E373" s="1" t="n">
        <v>46326</v>
      </c>
      <c r="F373" t="inlineStr">
        <is>
          <t>KALMAR LÄN</t>
        </is>
      </c>
      <c r="G373" t="inlineStr">
        <is>
          <t>MÖNSTERÅS</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142-2023</t>
        </is>
      </c>
      <c r="B374" t="inlineStr">
        <is>
          <t>samrådsanmälan</t>
        </is>
      </c>
      <c r="C374" t="inlineStr">
        <is>
          <t>Askåterföring</t>
        </is>
      </c>
      <c r="D374" s="1" t="n">
        <v>44942</v>
      </c>
      <c r="E374" s="1" t="n">
        <v>46326</v>
      </c>
      <c r="F374" t="inlineStr">
        <is>
          <t>KALMAR LÄN</t>
        </is>
      </c>
      <c r="G374" t="inlineStr">
        <is>
          <t>MÖNSTERÅS</t>
        </is>
      </c>
      <c r="I374" t="n">
        <v>15.8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579-2023</t>
        </is>
      </c>
      <c r="B375" t="inlineStr">
        <is>
          <t>samrådsanmälan</t>
        </is>
      </c>
      <c r="C375" t="inlineStr">
        <is>
          <t>Askåterföring</t>
        </is>
      </c>
      <c r="D375" s="1" t="n">
        <v>44971</v>
      </c>
      <c r="E375" s="1" t="n">
        <v>46326</v>
      </c>
      <c r="F375" t="inlineStr">
        <is>
          <t>KALMAR LÄN</t>
        </is>
      </c>
      <c r="G375" t="inlineStr">
        <is>
          <t>MÖNSTERÅS</t>
        </is>
      </c>
      <c r="I375" t="n">
        <v>29.4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10272-2021</t>
        </is>
      </c>
      <c r="B376" t="inlineStr">
        <is>
          <t>samrådsanmälan</t>
        </is>
      </c>
      <c r="C376" t="inlineStr">
        <is>
          <t>Åtgärd i nyckelbiotop</t>
        </is>
      </c>
      <c r="D376" s="1" t="n">
        <v>44545</v>
      </c>
      <c r="E376" s="1" t="n">
        <v>46326</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2148-2022</t>
        </is>
      </c>
      <c r="B377" t="inlineStr">
        <is>
          <t>samrådsanmälan</t>
        </is>
      </c>
      <c r="C377" t="inlineStr">
        <is>
          <t>Åtgärd i nyckelbiotop</t>
        </is>
      </c>
      <c r="D377" s="1" t="n">
        <v>44677</v>
      </c>
      <c r="E377" s="1" t="n">
        <v>46326</v>
      </c>
      <c r="F377" t="inlineStr">
        <is>
          <t>KALMAR LÄN</t>
        </is>
      </c>
      <c r="G377" t="inlineStr">
        <is>
          <t>MÖNSTERÅS</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1097-2022</t>
        </is>
      </c>
      <c r="B378" t="inlineStr">
        <is>
          <t>samrådsanmälan</t>
        </is>
      </c>
      <c r="C378" t="inlineStr">
        <is>
          <t>Askåterföring</t>
        </is>
      </c>
      <c r="D378" s="1" t="n">
        <v>44614</v>
      </c>
      <c r="E378" s="1" t="n">
        <v>46326</v>
      </c>
      <c r="F378" t="inlineStr">
        <is>
          <t>KALMAR LÄN</t>
        </is>
      </c>
      <c r="G378" t="inlineStr">
        <is>
          <t>MÖNSTERÅS</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2407-2022</t>
        </is>
      </c>
      <c r="B379" t="inlineStr">
        <is>
          <t>samrådsanmälan</t>
        </is>
      </c>
      <c r="C379" t="inlineStr">
        <is>
          <t>Annan skogsbruksåtgärd</t>
        </is>
      </c>
      <c r="D379" s="1" t="n">
        <v>44690</v>
      </c>
      <c r="E379" s="1" t="n">
        <v>46326</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443-2023</t>
        </is>
      </c>
      <c r="B380" t="inlineStr">
        <is>
          <t>samrådsanmälan</t>
        </is>
      </c>
      <c r="C380" t="inlineStr">
        <is>
          <t>Askåterföring</t>
        </is>
      </c>
      <c r="D380" s="1" t="n">
        <v>44963</v>
      </c>
      <c r="E380" s="1" t="n">
        <v>46326</v>
      </c>
      <c r="F380" t="inlineStr">
        <is>
          <t>KALMAR LÄN</t>
        </is>
      </c>
      <c r="G380" t="inlineStr">
        <is>
          <t>MÖNSTERÅS</t>
        </is>
      </c>
      <c r="I380" t="n">
        <v>18.3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4860-2024</t>
        </is>
      </c>
      <c r="B381" t="inlineStr">
        <is>
          <t>samrådsanmälan</t>
        </is>
      </c>
      <c r="C381" t="inlineStr">
        <is>
          <t>Askåterföring</t>
        </is>
      </c>
      <c r="D381" s="1" t="n">
        <v>45617</v>
      </c>
      <c r="E381" s="1" t="n">
        <v>46326</v>
      </c>
      <c r="F381" t="inlineStr">
        <is>
          <t>KALMAR LÄN</t>
        </is>
      </c>
      <c r="G381" t="inlineStr">
        <is>
          <t>MÖNSTERÅS</t>
        </is>
      </c>
      <c r="I381" t="n">
        <v>13.6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2838-2025</t>
        </is>
      </c>
      <c r="B382" t="inlineStr">
        <is>
          <t>samrådsanmälan</t>
        </is>
      </c>
      <c r="C382" t="inlineStr">
        <is>
          <t>Annan skogsbruksåtgärd</t>
        </is>
      </c>
      <c r="D382" s="1" t="n">
        <v>45940</v>
      </c>
      <c r="E382" s="1" t="n">
        <v>46326</v>
      </c>
      <c r="F382" t="inlineStr">
        <is>
          <t>KALMAR LÄN</t>
        </is>
      </c>
      <c r="G382" t="inlineStr">
        <is>
          <t>MÖNSTERÅS</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3502-2025</t>
        </is>
      </c>
      <c r="B383" t="inlineStr">
        <is>
          <t>samrådsanmälan</t>
        </is>
      </c>
      <c r="C383" t="inlineStr">
        <is>
          <t>Annan skogsbruksåtgärd</t>
        </is>
      </c>
      <c r="D383" s="1" t="n">
        <v>46003</v>
      </c>
      <c r="E383" s="1" t="n">
        <v>46326</v>
      </c>
      <c r="F383" t="inlineStr">
        <is>
          <t>KALMAR LÄN</t>
        </is>
      </c>
      <c r="G383" t="inlineStr">
        <is>
          <t>MÖNSTERÅS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342-2026</t>
        </is>
      </c>
      <c r="B384" t="inlineStr">
        <is>
          <t>samrådsanmälan</t>
        </is>
      </c>
      <c r="C384" t="inlineStr">
        <is>
          <t>Askåterföring</t>
        </is>
      </c>
      <c r="D384" s="1" t="n">
        <v>46063</v>
      </c>
      <c r="E384" s="1" t="n">
        <v>46326</v>
      </c>
      <c r="F384" t="inlineStr">
        <is>
          <t>KALMAR LÄN</t>
        </is>
      </c>
      <c r="G384" t="inlineStr">
        <is>
          <t>MÖNSTERÅS</t>
        </is>
      </c>
      <c r="I384" t="n">
        <v>6.4</v>
      </c>
      <c r="J384" t="n">
        <v>0</v>
      </c>
      <c r="K384" t="n">
        <v>0</v>
      </c>
      <c r="L384" t="n">
        <v>0</v>
      </c>
      <c r="M384" t="n">
        <v>0</v>
      </c>
      <c r="N384" t="n">
        <v>0</v>
      </c>
      <c r="O384" t="n">
        <v>0</v>
      </c>
      <c r="P384" t="n">
        <v>0</v>
      </c>
      <c r="Q384" t="n">
        <v>0</v>
      </c>
      <c r="R384" t="n">
        <v>0</v>
      </c>
      <c r="S384" t="n">
        <v>0</v>
      </c>
      <c r="T384" t="n">
        <v>0</v>
      </c>
      <c r="U384" t="n">
        <v>0</v>
      </c>
      <c r="V384" s="2" t="inlineStr"/>
    </row>
    <row r="385">
      <c r="A385" t="inlineStr">
        <is>
          <t>S 759-2026</t>
        </is>
      </c>
      <c r="B385" t="inlineStr">
        <is>
          <t>samrådsanmälan</t>
        </is>
      </c>
      <c r="C385" t="inlineStr">
        <is>
          <t>Annan skogsbruksåtgärd</t>
        </is>
      </c>
      <c r="D385" s="1" t="n">
        <v>46097</v>
      </c>
      <c r="E385" s="1" t="n">
        <v>46326</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2026-10-31T03:22:28Z</dcterms:created>
  <dcterms:modified xmlns:dcterms="http://purl.org/dc/terms/" xmlns:xsi="http://www.w3.org/2001/XMLSchema-instance" xsi:type="dcterms:W3CDTF">2026-10-31T03:22:28Z</dcterms:modified>
</cp:coreProperties>
</file>
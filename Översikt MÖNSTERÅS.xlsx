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45637</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45637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45637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45637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45637</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45637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45637</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45637</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45637</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45637</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45637</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45637</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45637</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45637</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45637</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45637</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45637</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45637</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45637</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45637</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45637</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45637</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45637</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45637</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45637</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45637</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45637</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45637</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45637</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45637</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45637</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45637</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45637</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45637</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45637</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45637</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45637</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45637</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45637</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45637</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45637</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45637</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45637</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20970-2020</t>
        </is>
      </c>
      <c r="B45" s="1" t="n">
        <v>43950</v>
      </c>
      <c r="C45" s="1" t="n">
        <v>45637</v>
      </c>
      <c r="D45" t="inlineStr">
        <is>
          <t>KALMAR LÄN</t>
        </is>
      </c>
      <c r="E45" t="inlineStr">
        <is>
          <t>MÖNSTERÅS</t>
        </is>
      </c>
      <c r="F45" t="inlineStr">
        <is>
          <t>Kommuner</t>
        </is>
      </c>
      <c r="G45" t="n">
        <v>5.1</v>
      </c>
      <c r="H45" t="n">
        <v>0</v>
      </c>
      <c r="I45" t="n">
        <v>2</v>
      </c>
      <c r="J45" t="n">
        <v>0</v>
      </c>
      <c r="K45" t="n">
        <v>0</v>
      </c>
      <c r="L45" t="n">
        <v>0</v>
      </c>
      <c r="M45" t="n">
        <v>0</v>
      </c>
      <c r="N45" t="n">
        <v>0</v>
      </c>
      <c r="O45" t="n">
        <v>0</v>
      </c>
      <c r="P45" t="n">
        <v>0</v>
      </c>
      <c r="Q45" t="n">
        <v>2</v>
      </c>
      <c r="R45" s="2" t="inlineStr">
        <is>
          <t>Blåmossa
Grovticka</t>
        </is>
      </c>
      <c r="S45">
        <f>HYPERLINK("https://klasma.github.io/Logging_0861/artfynd/A 20970-2020 artfynd.xlsx", "A 20970-2020")</f>
        <v/>
      </c>
      <c r="T45">
        <f>HYPERLINK("https://klasma.github.io/Logging_0861/kartor/A 20970-2020 karta.png", "A 20970-2020")</f>
        <v/>
      </c>
      <c r="V45">
        <f>HYPERLINK("https://klasma.github.io/Logging_0861/klagomål/A 20970-2020 FSC-klagomål.docx", "A 20970-2020")</f>
        <v/>
      </c>
      <c r="W45">
        <f>HYPERLINK("https://klasma.github.io/Logging_0861/klagomålsmail/A 20970-2020 FSC-klagomål mail.docx", "A 20970-2020")</f>
        <v/>
      </c>
      <c r="X45">
        <f>HYPERLINK("https://klasma.github.io/Logging_0861/tillsyn/A 20970-2020 tillsynsbegäran.docx", "A 20970-2020")</f>
        <v/>
      </c>
      <c r="Y45">
        <f>HYPERLINK("https://klasma.github.io/Logging_0861/tillsynsmail/A 20970-2020 tillsynsbegäran mail.docx", "A 20970-2020")</f>
        <v/>
      </c>
    </row>
    <row r="46" ht="15" customHeight="1">
      <c r="A46" t="inlineStr">
        <is>
          <t>A 33362-2020</t>
        </is>
      </c>
      <c r="B46" s="1" t="n">
        <v>44021</v>
      </c>
      <c r="C46" s="1" t="n">
        <v>45637</v>
      </c>
      <c r="D46" t="inlineStr">
        <is>
          <t>KALMAR LÄN</t>
        </is>
      </c>
      <c r="E46" t="inlineStr">
        <is>
          <t>MÖNSTERÅS</t>
        </is>
      </c>
      <c r="G46" t="n">
        <v>2.6</v>
      </c>
      <c r="H46" t="n">
        <v>0</v>
      </c>
      <c r="I46" t="n">
        <v>0</v>
      </c>
      <c r="J46" t="n">
        <v>2</v>
      </c>
      <c r="K46" t="n">
        <v>0</v>
      </c>
      <c r="L46" t="n">
        <v>0</v>
      </c>
      <c r="M46" t="n">
        <v>0</v>
      </c>
      <c r="N46" t="n">
        <v>0</v>
      </c>
      <c r="O46" t="n">
        <v>2</v>
      </c>
      <c r="P46" t="n">
        <v>0</v>
      </c>
      <c r="Q46" t="n">
        <v>2</v>
      </c>
      <c r="R46" s="2" t="inlineStr">
        <is>
          <t>Ekgrenbock
Smalvingad blombock</t>
        </is>
      </c>
      <c r="S46">
        <f>HYPERLINK("https://klasma.github.io/Logging_0861/artfynd/A 33362-2020 artfynd.xlsx", "A 33362-2020")</f>
        <v/>
      </c>
      <c r="T46">
        <f>HYPERLINK("https://klasma.github.io/Logging_0861/kartor/A 33362-2020 karta.png", "A 33362-2020")</f>
        <v/>
      </c>
      <c r="V46">
        <f>HYPERLINK("https://klasma.github.io/Logging_0861/klagomål/A 33362-2020 FSC-klagomål.docx", "A 33362-2020")</f>
        <v/>
      </c>
      <c r="W46">
        <f>HYPERLINK("https://klasma.github.io/Logging_0861/klagomålsmail/A 33362-2020 FSC-klagomål mail.docx", "A 33362-2020")</f>
        <v/>
      </c>
      <c r="X46">
        <f>HYPERLINK("https://klasma.github.io/Logging_0861/tillsyn/A 33362-2020 tillsynsbegäran.docx", "A 33362-2020")</f>
        <v/>
      </c>
      <c r="Y46">
        <f>HYPERLINK("https://klasma.github.io/Logging_0861/tillsynsmail/A 33362-2020 tillsynsbegäran mail.docx", "A 33362-2020")</f>
        <v/>
      </c>
    </row>
    <row r="47" ht="15" customHeight="1">
      <c r="A47" t="inlineStr">
        <is>
          <t>A 11903-2021</t>
        </is>
      </c>
      <c r="B47" s="1" t="n">
        <v>44265</v>
      </c>
      <c r="C47" s="1" t="n">
        <v>45637</v>
      </c>
      <c r="D47" t="inlineStr">
        <is>
          <t>KALMAR LÄN</t>
        </is>
      </c>
      <c r="E47" t="inlineStr">
        <is>
          <t>MÖNSTERÅS</t>
        </is>
      </c>
      <c r="G47" t="n">
        <v>6.5</v>
      </c>
      <c r="H47" t="n">
        <v>2</v>
      </c>
      <c r="I47" t="n">
        <v>0</v>
      </c>
      <c r="J47" t="n">
        <v>0</v>
      </c>
      <c r="K47" t="n">
        <v>2</v>
      </c>
      <c r="L47" t="n">
        <v>0</v>
      </c>
      <c r="M47" t="n">
        <v>0</v>
      </c>
      <c r="N47" t="n">
        <v>0</v>
      </c>
      <c r="O47" t="n">
        <v>2</v>
      </c>
      <c r="P47" t="n">
        <v>2</v>
      </c>
      <c r="Q47" t="n">
        <v>2</v>
      </c>
      <c r="R47" s="2" t="inlineStr">
        <is>
          <t>Kricka
Småfläckig sumphöna</t>
        </is>
      </c>
      <c r="S47">
        <f>HYPERLINK("https://klasma.github.io/Logging_0861/artfynd/A 11903-2021 artfynd.xlsx", "A 11903-2021")</f>
        <v/>
      </c>
      <c r="T47">
        <f>HYPERLINK("https://klasma.github.io/Logging_0861/kartor/A 11903-2021 karta.png", "A 11903-2021")</f>
        <v/>
      </c>
      <c r="V47">
        <f>HYPERLINK("https://klasma.github.io/Logging_0861/klagomål/A 11903-2021 FSC-klagomål.docx", "A 11903-2021")</f>
        <v/>
      </c>
      <c r="W47">
        <f>HYPERLINK("https://klasma.github.io/Logging_0861/klagomålsmail/A 11903-2021 FSC-klagomål mail.docx", "A 11903-2021")</f>
        <v/>
      </c>
      <c r="X47">
        <f>HYPERLINK("https://klasma.github.io/Logging_0861/tillsyn/A 11903-2021 tillsynsbegäran.docx", "A 11903-2021")</f>
        <v/>
      </c>
      <c r="Y47">
        <f>HYPERLINK("https://klasma.github.io/Logging_0861/tillsynsmail/A 11903-2021 tillsynsbegäran mail.docx", "A 11903-2021")</f>
        <v/>
      </c>
      <c r="Z47">
        <f>HYPERLINK("https://klasma.github.io/Logging_0861/fåglar/A 11903-2021 prioriterade fågelarter.docx", "A 11903-2021")</f>
        <v/>
      </c>
    </row>
    <row r="48" ht="15" customHeight="1">
      <c r="A48" t="inlineStr">
        <is>
          <t>A 40785-2022</t>
        </is>
      </c>
      <c r="B48" s="1" t="n">
        <v>44824</v>
      </c>
      <c r="C48" s="1" t="n">
        <v>45637</v>
      </c>
      <c r="D48" t="inlineStr">
        <is>
          <t>KALMAR LÄN</t>
        </is>
      </c>
      <c r="E48" t="inlineStr">
        <is>
          <t>MÖNSTERÅS</t>
        </is>
      </c>
      <c r="G48" t="n">
        <v>0.3</v>
      </c>
      <c r="H48" t="n">
        <v>2</v>
      </c>
      <c r="I48" t="n">
        <v>0</v>
      </c>
      <c r="J48" t="n">
        <v>0</v>
      </c>
      <c r="K48" t="n">
        <v>1</v>
      </c>
      <c r="L48" t="n">
        <v>0</v>
      </c>
      <c r="M48" t="n">
        <v>0</v>
      </c>
      <c r="N48" t="n">
        <v>0</v>
      </c>
      <c r="O48" t="n">
        <v>1</v>
      </c>
      <c r="P48" t="n">
        <v>1</v>
      </c>
      <c r="Q48" t="n">
        <v>2</v>
      </c>
      <c r="R48" s="2" t="inlineStr">
        <is>
          <t>Knärot
Blåsippa</t>
        </is>
      </c>
      <c r="S48">
        <f>HYPERLINK("https://klasma.github.io/Logging_0861/artfynd/A 40785-2022 artfynd.xlsx", "A 40785-2022")</f>
        <v/>
      </c>
      <c r="T48">
        <f>HYPERLINK("https://klasma.github.io/Logging_0861/kartor/A 40785-2022 karta.png", "A 40785-2022")</f>
        <v/>
      </c>
      <c r="U48">
        <f>HYPERLINK("https://klasma.github.io/Logging_0861/knärot/A 40785-2022 karta knärot.png", "A 40785-2022")</f>
        <v/>
      </c>
      <c r="V48">
        <f>HYPERLINK("https://klasma.github.io/Logging_0861/klagomål/A 40785-2022 FSC-klagomål.docx", "A 40785-2022")</f>
        <v/>
      </c>
      <c r="W48">
        <f>HYPERLINK("https://klasma.github.io/Logging_0861/klagomålsmail/A 40785-2022 FSC-klagomål mail.docx", "A 40785-2022")</f>
        <v/>
      </c>
      <c r="X48">
        <f>HYPERLINK("https://klasma.github.io/Logging_0861/tillsyn/A 40785-2022 tillsynsbegäran.docx", "A 40785-2022")</f>
        <v/>
      </c>
      <c r="Y48">
        <f>HYPERLINK("https://klasma.github.io/Logging_0861/tillsynsmail/A 40785-2022 tillsynsbegäran mail.docx", "A 40785-2022")</f>
        <v/>
      </c>
    </row>
    <row r="49" ht="15" customHeight="1">
      <c r="A49" t="inlineStr">
        <is>
          <t>A 1991-2023</t>
        </is>
      </c>
      <c r="B49" s="1" t="n">
        <v>44939</v>
      </c>
      <c r="C49" s="1" t="n">
        <v>45637</v>
      </c>
      <c r="D49" t="inlineStr">
        <is>
          <t>KALMAR LÄN</t>
        </is>
      </c>
      <c r="E49" t="inlineStr">
        <is>
          <t>MÖNSTERÅS</t>
        </is>
      </c>
      <c r="G49" t="n">
        <v>0.8</v>
      </c>
      <c r="H49" t="n">
        <v>0</v>
      </c>
      <c r="I49" t="n">
        <v>2</v>
      </c>
      <c r="J49" t="n">
        <v>0</v>
      </c>
      <c r="K49" t="n">
        <v>0</v>
      </c>
      <c r="L49" t="n">
        <v>0</v>
      </c>
      <c r="M49" t="n">
        <v>0</v>
      </c>
      <c r="N49" t="n">
        <v>0</v>
      </c>
      <c r="O49" t="n">
        <v>0</v>
      </c>
      <c r="P49" t="n">
        <v>0</v>
      </c>
      <c r="Q49" t="n">
        <v>2</v>
      </c>
      <c r="R49" s="2" t="inlineStr">
        <is>
          <t>Vätteros
Vårärt</t>
        </is>
      </c>
      <c r="S49">
        <f>HYPERLINK("https://klasma.github.io/Logging_0861/artfynd/A 1991-2023 artfynd.xlsx", "A 1991-2023")</f>
        <v/>
      </c>
      <c r="T49">
        <f>HYPERLINK("https://klasma.github.io/Logging_0861/kartor/A 1991-2023 karta.png", "A 1991-2023")</f>
        <v/>
      </c>
      <c r="V49">
        <f>HYPERLINK("https://klasma.github.io/Logging_0861/klagomål/A 1991-2023 FSC-klagomål.docx", "A 1991-2023")</f>
        <v/>
      </c>
      <c r="W49">
        <f>HYPERLINK("https://klasma.github.io/Logging_0861/klagomålsmail/A 1991-2023 FSC-klagomål mail.docx", "A 1991-2023")</f>
        <v/>
      </c>
      <c r="X49">
        <f>HYPERLINK("https://klasma.github.io/Logging_0861/tillsyn/A 1991-2023 tillsynsbegäran.docx", "A 1991-2023")</f>
        <v/>
      </c>
      <c r="Y49">
        <f>HYPERLINK("https://klasma.github.io/Logging_0861/tillsynsmail/A 1991-2023 tillsynsbegäran mail.docx", "A 1991-2023")</f>
        <v/>
      </c>
    </row>
    <row r="50" ht="15" customHeight="1">
      <c r="A50" t="inlineStr">
        <is>
          <t>A 16431-2023</t>
        </is>
      </c>
      <c r="B50" s="1" t="n">
        <v>45022</v>
      </c>
      <c r="C50" s="1" t="n">
        <v>45637</v>
      </c>
      <c r="D50" t="inlineStr">
        <is>
          <t>KALMAR LÄN</t>
        </is>
      </c>
      <c r="E50" t="inlineStr">
        <is>
          <t>MÖNSTERÅS</t>
        </is>
      </c>
      <c r="G50" t="n">
        <v>9.4</v>
      </c>
      <c r="H50" t="n">
        <v>0</v>
      </c>
      <c r="I50" t="n">
        <v>2</v>
      </c>
      <c r="J50" t="n">
        <v>0</v>
      </c>
      <c r="K50" t="n">
        <v>0</v>
      </c>
      <c r="L50" t="n">
        <v>0</v>
      </c>
      <c r="M50" t="n">
        <v>0</v>
      </c>
      <c r="N50" t="n">
        <v>0</v>
      </c>
      <c r="O50" t="n">
        <v>0</v>
      </c>
      <c r="P50" t="n">
        <v>0</v>
      </c>
      <c r="Q50" t="n">
        <v>2</v>
      </c>
      <c r="R50" s="2" t="inlineStr">
        <is>
          <t>Sårläka
Vätteros</t>
        </is>
      </c>
      <c r="S50">
        <f>HYPERLINK("https://klasma.github.io/Logging_0861/artfynd/A 16431-2023 artfynd.xlsx", "A 16431-2023")</f>
        <v/>
      </c>
      <c r="T50">
        <f>HYPERLINK("https://klasma.github.io/Logging_0861/kartor/A 16431-2023 karta.png", "A 16431-2023")</f>
        <v/>
      </c>
      <c r="V50">
        <f>HYPERLINK("https://klasma.github.io/Logging_0861/klagomål/A 16431-2023 FSC-klagomål.docx", "A 16431-2023")</f>
        <v/>
      </c>
      <c r="W50">
        <f>HYPERLINK("https://klasma.github.io/Logging_0861/klagomålsmail/A 16431-2023 FSC-klagomål mail.docx", "A 16431-2023")</f>
        <v/>
      </c>
      <c r="X50">
        <f>HYPERLINK("https://klasma.github.io/Logging_0861/tillsyn/A 16431-2023 tillsynsbegäran.docx", "A 16431-2023")</f>
        <v/>
      </c>
      <c r="Y50">
        <f>HYPERLINK("https://klasma.github.io/Logging_0861/tillsynsmail/A 16431-2023 tillsynsbegäran mail.docx", "A 16431-2023")</f>
        <v/>
      </c>
    </row>
    <row r="51" ht="15" customHeight="1">
      <c r="A51" t="inlineStr">
        <is>
          <t>A 26272-2023</t>
        </is>
      </c>
      <c r="B51" s="1" t="n">
        <v>45091</v>
      </c>
      <c r="C51" s="1" t="n">
        <v>45637</v>
      </c>
      <c r="D51" t="inlineStr">
        <is>
          <t>KALMAR LÄN</t>
        </is>
      </c>
      <c r="E51" t="inlineStr">
        <is>
          <t>MÖNSTERÅS</t>
        </is>
      </c>
      <c r="G51" t="n">
        <v>1.6</v>
      </c>
      <c r="H51" t="n">
        <v>2</v>
      </c>
      <c r="I51" t="n">
        <v>0</v>
      </c>
      <c r="J51" t="n">
        <v>0</v>
      </c>
      <c r="K51" t="n">
        <v>0</v>
      </c>
      <c r="L51" t="n">
        <v>0</v>
      </c>
      <c r="M51" t="n">
        <v>0</v>
      </c>
      <c r="N51" t="n">
        <v>0</v>
      </c>
      <c r="O51" t="n">
        <v>0</v>
      </c>
      <c r="P51" t="n">
        <v>0</v>
      </c>
      <c r="Q51" t="n">
        <v>2</v>
      </c>
      <c r="R51" s="2" t="inlineStr">
        <is>
          <t>Dvärgpipistrell
Större brunfladdermus</t>
        </is>
      </c>
      <c r="S51">
        <f>HYPERLINK("https://klasma.github.io/Logging_0861/artfynd/A 26272-2023 artfynd.xlsx", "A 26272-2023")</f>
        <v/>
      </c>
      <c r="T51">
        <f>HYPERLINK("https://klasma.github.io/Logging_0861/kartor/A 26272-2023 karta.png", "A 26272-2023")</f>
        <v/>
      </c>
      <c r="V51">
        <f>HYPERLINK("https://klasma.github.io/Logging_0861/klagomål/A 26272-2023 FSC-klagomål.docx", "A 26272-2023")</f>
        <v/>
      </c>
      <c r="W51">
        <f>HYPERLINK("https://klasma.github.io/Logging_0861/klagomålsmail/A 26272-2023 FSC-klagomål mail.docx", "A 26272-2023")</f>
        <v/>
      </c>
      <c r="X51">
        <f>HYPERLINK("https://klasma.github.io/Logging_0861/tillsyn/A 26272-2023 tillsynsbegäran.docx", "A 26272-2023")</f>
        <v/>
      </c>
      <c r="Y51">
        <f>HYPERLINK("https://klasma.github.io/Logging_0861/tillsynsmail/A 26272-2023 tillsynsbegäran mail.docx", "A 26272-2023")</f>
        <v/>
      </c>
    </row>
    <row r="52" ht="15" customHeight="1">
      <c r="A52" t="inlineStr">
        <is>
          <t>A 51584-2023</t>
        </is>
      </c>
      <c r="B52" s="1" t="n">
        <v>45222</v>
      </c>
      <c r="C52" s="1" t="n">
        <v>45637</v>
      </c>
      <c r="D52" t="inlineStr">
        <is>
          <t>KALMAR LÄN</t>
        </is>
      </c>
      <c r="E52" t="inlineStr">
        <is>
          <t>MÖNSTERÅS</t>
        </is>
      </c>
      <c r="G52" t="n">
        <v>5.2</v>
      </c>
      <c r="H52" t="n">
        <v>1</v>
      </c>
      <c r="I52" t="n">
        <v>1</v>
      </c>
      <c r="J52" t="n">
        <v>0</v>
      </c>
      <c r="K52" t="n">
        <v>1</v>
      </c>
      <c r="L52" t="n">
        <v>0</v>
      </c>
      <c r="M52" t="n">
        <v>0</v>
      </c>
      <c r="N52" t="n">
        <v>0</v>
      </c>
      <c r="O52" t="n">
        <v>1</v>
      </c>
      <c r="P52" t="n">
        <v>1</v>
      </c>
      <c r="Q52" t="n">
        <v>2</v>
      </c>
      <c r="R52" s="2" t="inlineStr">
        <is>
          <t>Knärot
Grönpyrola</t>
        </is>
      </c>
      <c r="S52">
        <f>HYPERLINK("https://klasma.github.io/Logging_0861/artfynd/A 51584-2023 artfynd.xlsx", "A 51584-2023")</f>
        <v/>
      </c>
      <c r="T52">
        <f>HYPERLINK("https://klasma.github.io/Logging_0861/kartor/A 51584-2023 karta.png", "A 51584-2023")</f>
        <v/>
      </c>
      <c r="U52">
        <f>HYPERLINK("https://klasma.github.io/Logging_0861/knärot/A 51584-2023 karta knärot.png", "A 51584-2023")</f>
        <v/>
      </c>
      <c r="V52">
        <f>HYPERLINK("https://klasma.github.io/Logging_0861/klagomål/A 51584-2023 FSC-klagomål.docx", "A 51584-2023")</f>
        <v/>
      </c>
      <c r="W52">
        <f>HYPERLINK("https://klasma.github.io/Logging_0861/klagomålsmail/A 51584-2023 FSC-klagomål mail.docx", "A 51584-2023")</f>
        <v/>
      </c>
      <c r="X52">
        <f>HYPERLINK("https://klasma.github.io/Logging_0861/tillsyn/A 51584-2023 tillsynsbegäran.docx", "A 51584-2023")</f>
        <v/>
      </c>
      <c r="Y52">
        <f>HYPERLINK("https://klasma.github.io/Logging_0861/tillsynsmail/A 51584-2023 tillsynsbegäran mail.docx", "A 51584-2023")</f>
        <v/>
      </c>
    </row>
    <row r="53" ht="15" customHeight="1">
      <c r="A53" t="inlineStr">
        <is>
          <t>A 58899-2023</t>
        </is>
      </c>
      <c r="B53" s="1" t="n">
        <v>45250</v>
      </c>
      <c r="C53" s="1" t="n">
        <v>45637</v>
      </c>
      <c r="D53" t="inlineStr">
        <is>
          <t>KALMAR LÄN</t>
        </is>
      </c>
      <c r="E53" t="inlineStr">
        <is>
          <t>MÖNSTERÅS</t>
        </is>
      </c>
      <c r="G53" t="n">
        <v>1.3</v>
      </c>
      <c r="H53" t="n">
        <v>2</v>
      </c>
      <c r="I53" t="n">
        <v>0</v>
      </c>
      <c r="J53" t="n">
        <v>1</v>
      </c>
      <c r="K53" t="n">
        <v>1</v>
      </c>
      <c r="L53" t="n">
        <v>0</v>
      </c>
      <c r="M53" t="n">
        <v>0</v>
      </c>
      <c r="N53" t="n">
        <v>0</v>
      </c>
      <c r="O53" t="n">
        <v>2</v>
      </c>
      <c r="P53" t="n">
        <v>1</v>
      </c>
      <c r="Q53" t="n">
        <v>2</v>
      </c>
      <c r="R53" s="2" t="inlineStr">
        <is>
          <t>Knärot
Spillkråka</t>
        </is>
      </c>
      <c r="S53">
        <f>HYPERLINK("https://klasma.github.io/Logging_0861/artfynd/A 58899-2023 artfynd.xlsx", "A 58899-2023")</f>
        <v/>
      </c>
      <c r="T53">
        <f>HYPERLINK("https://klasma.github.io/Logging_0861/kartor/A 58899-2023 karta.png", "A 58899-2023")</f>
        <v/>
      </c>
      <c r="U53">
        <f>HYPERLINK("https://klasma.github.io/Logging_0861/knärot/A 58899-2023 karta knärot.png", "A 58899-2023")</f>
        <v/>
      </c>
      <c r="V53">
        <f>HYPERLINK("https://klasma.github.io/Logging_0861/klagomål/A 58899-2023 FSC-klagomål.docx", "A 58899-2023")</f>
        <v/>
      </c>
      <c r="W53">
        <f>HYPERLINK("https://klasma.github.io/Logging_0861/klagomålsmail/A 58899-2023 FSC-klagomål mail.docx", "A 58899-2023")</f>
        <v/>
      </c>
      <c r="X53">
        <f>HYPERLINK("https://klasma.github.io/Logging_0861/tillsyn/A 58899-2023 tillsynsbegäran.docx", "A 58899-2023")</f>
        <v/>
      </c>
      <c r="Y53">
        <f>HYPERLINK("https://klasma.github.io/Logging_0861/tillsynsmail/A 58899-2023 tillsynsbegäran mail.docx", "A 58899-2023")</f>
        <v/>
      </c>
      <c r="Z53">
        <f>HYPERLINK("https://klasma.github.io/Logging_0861/fåglar/A 58899-2023 prioriterade fågelarter.docx", "A 58899-2023")</f>
        <v/>
      </c>
    </row>
    <row r="54" ht="15" customHeight="1">
      <c r="A54" t="inlineStr">
        <is>
          <t>A 9237-2024</t>
        </is>
      </c>
      <c r="B54" s="1" t="n">
        <v>45358</v>
      </c>
      <c r="C54" s="1" t="n">
        <v>45637</v>
      </c>
      <c r="D54" t="inlineStr">
        <is>
          <t>KALMAR LÄN</t>
        </is>
      </c>
      <c r="E54" t="inlineStr">
        <is>
          <t>MÖNSTERÅS</t>
        </is>
      </c>
      <c r="G54" t="n">
        <v>1.5</v>
      </c>
      <c r="H54" t="n">
        <v>2</v>
      </c>
      <c r="I54" t="n">
        <v>0</v>
      </c>
      <c r="J54" t="n">
        <v>1</v>
      </c>
      <c r="K54" t="n">
        <v>0</v>
      </c>
      <c r="L54" t="n">
        <v>0</v>
      </c>
      <c r="M54" t="n">
        <v>0</v>
      </c>
      <c r="N54" t="n">
        <v>0</v>
      </c>
      <c r="O54" t="n">
        <v>1</v>
      </c>
      <c r="P54" t="n">
        <v>0</v>
      </c>
      <c r="Q54" t="n">
        <v>2</v>
      </c>
      <c r="R54" s="2" t="inlineStr">
        <is>
          <t>Nordfladdermus
Dvärgpipistrell</t>
        </is>
      </c>
      <c r="S54">
        <f>HYPERLINK("https://klasma.github.io/Logging_0861/artfynd/A 9237-2024 artfynd.xlsx", "A 9237-2024")</f>
        <v/>
      </c>
      <c r="T54">
        <f>HYPERLINK("https://klasma.github.io/Logging_0861/kartor/A 9237-2024 karta.png", "A 9237-2024")</f>
        <v/>
      </c>
      <c r="V54">
        <f>HYPERLINK("https://klasma.github.io/Logging_0861/klagomål/A 9237-2024 FSC-klagomål.docx", "A 9237-2024")</f>
        <v/>
      </c>
      <c r="W54">
        <f>HYPERLINK("https://klasma.github.io/Logging_0861/klagomålsmail/A 9237-2024 FSC-klagomål mail.docx", "A 9237-2024")</f>
        <v/>
      </c>
      <c r="X54">
        <f>HYPERLINK("https://klasma.github.io/Logging_0861/tillsyn/A 9237-2024 tillsynsbegäran.docx", "A 9237-2024")</f>
        <v/>
      </c>
      <c r="Y54">
        <f>HYPERLINK("https://klasma.github.io/Logging_0861/tillsynsmail/A 9237-2024 tillsynsbegäran mail.docx", "A 9237-2024")</f>
        <v/>
      </c>
    </row>
    <row r="55" ht="15" customHeight="1">
      <c r="A55" t="inlineStr">
        <is>
          <t>A 15941-2024</t>
        </is>
      </c>
      <c r="B55" s="1" t="n">
        <v>45405</v>
      </c>
      <c r="C55" s="1" t="n">
        <v>45637</v>
      </c>
      <c r="D55" t="inlineStr">
        <is>
          <t>KALMAR LÄN</t>
        </is>
      </c>
      <c r="E55" t="inlineStr">
        <is>
          <t>MÖNSTERÅS</t>
        </is>
      </c>
      <c r="G55" t="n">
        <v>5.9</v>
      </c>
      <c r="H55" t="n">
        <v>2</v>
      </c>
      <c r="I55" t="n">
        <v>0</v>
      </c>
      <c r="J55" t="n">
        <v>1</v>
      </c>
      <c r="K55" t="n">
        <v>1</v>
      </c>
      <c r="L55" t="n">
        <v>0</v>
      </c>
      <c r="M55" t="n">
        <v>0</v>
      </c>
      <c r="N55" t="n">
        <v>0</v>
      </c>
      <c r="O55" t="n">
        <v>2</v>
      </c>
      <c r="P55" t="n">
        <v>1</v>
      </c>
      <c r="Q55" t="n">
        <v>2</v>
      </c>
      <c r="R55" s="2" t="inlineStr">
        <is>
          <t>Knärot
Spillkråka</t>
        </is>
      </c>
      <c r="S55">
        <f>HYPERLINK("https://klasma.github.io/Logging_0861/artfynd/A 15941-2024 artfynd.xlsx", "A 15941-2024")</f>
        <v/>
      </c>
      <c r="T55">
        <f>HYPERLINK("https://klasma.github.io/Logging_0861/kartor/A 15941-2024 karta.png", "A 15941-2024")</f>
        <v/>
      </c>
      <c r="U55">
        <f>HYPERLINK("https://klasma.github.io/Logging_0861/knärot/A 15941-2024 karta knärot.png", "A 15941-2024")</f>
        <v/>
      </c>
      <c r="V55">
        <f>HYPERLINK("https://klasma.github.io/Logging_0861/klagomål/A 15941-2024 FSC-klagomål.docx", "A 15941-2024")</f>
        <v/>
      </c>
      <c r="W55">
        <f>HYPERLINK("https://klasma.github.io/Logging_0861/klagomålsmail/A 15941-2024 FSC-klagomål mail.docx", "A 15941-2024")</f>
        <v/>
      </c>
      <c r="X55">
        <f>HYPERLINK("https://klasma.github.io/Logging_0861/tillsyn/A 15941-2024 tillsynsbegäran.docx", "A 15941-2024")</f>
        <v/>
      </c>
      <c r="Y55">
        <f>HYPERLINK("https://klasma.github.io/Logging_0861/tillsynsmail/A 15941-2024 tillsynsbegäran mail.docx", "A 15941-2024")</f>
        <v/>
      </c>
      <c r="Z55">
        <f>HYPERLINK("https://klasma.github.io/Logging_0861/fåglar/A 15941-2024 prioriterade fågelarter.docx", "A 15941-2024")</f>
        <v/>
      </c>
    </row>
    <row r="56" ht="15" customHeight="1">
      <c r="A56" t="inlineStr">
        <is>
          <t>A 40995-2024</t>
        </is>
      </c>
      <c r="B56" s="1" t="n">
        <v>45558</v>
      </c>
      <c r="C56" s="1" t="n">
        <v>45637</v>
      </c>
      <c r="D56" t="inlineStr">
        <is>
          <t>KALMAR LÄN</t>
        </is>
      </c>
      <c r="E56" t="inlineStr">
        <is>
          <t>MÖNSTERÅS</t>
        </is>
      </c>
      <c r="G56" t="n">
        <v>1.8</v>
      </c>
      <c r="H56" t="n">
        <v>1</v>
      </c>
      <c r="I56" t="n">
        <v>0</v>
      </c>
      <c r="J56" t="n">
        <v>1</v>
      </c>
      <c r="K56" t="n">
        <v>0</v>
      </c>
      <c r="L56" t="n">
        <v>0</v>
      </c>
      <c r="M56" t="n">
        <v>0</v>
      </c>
      <c r="N56" t="n">
        <v>0</v>
      </c>
      <c r="O56" t="n">
        <v>1</v>
      </c>
      <c r="P56" t="n">
        <v>0</v>
      </c>
      <c r="Q56" t="n">
        <v>2</v>
      </c>
      <c r="R56" s="2" t="inlineStr">
        <is>
          <t>Åkerkulla
Mattlummer</t>
        </is>
      </c>
      <c r="S56">
        <f>HYPERLINK("https://klasma.github.io/Logging_0861/artfynd/A 40995-2024 artfynd.xlsx", "A 40995-2024")</f>
        <v/>
      </c>
      <c r="T56">
        <f>HYPERLINK("https://klasma.github.io/Logging_0861/kartor/A 40995-2024 karta.png", "A 40995-2024")</f>
        <v/>
      </c>
      <c r="V56">
        <f>HYPERLINK("https://klasma.github.io/Logging_0861/klagomål/A 40995-2024 FSC-klagomål.docx", "A 40995-2024")</f>
        <v/>
      </c>
      <c r="W56">
        <f>HYPERLINK("https://klasma.github.io/Logging_0861/klagomålsmail/A 40995-2024 FSC-klagomål mail.docx", "A 40995-2024")</f>
        <v/>
      </c>
      <c r="X56">
        <f>HYPERLINK("https://klasma.github.io/Logging_0861/tillsyn/A 40995-2024 tillsynsbegäran.docx", "A 40995-2024")</f>
        <v/>
      </c>
      <c r="Y56">
        <f>HYPERLINK("https://klasma.github.io/Logging_0861/tillsynsmail/A 40995-2024 tillsynsbegäran mail.docx", "A 40995-2024")</f>
        <v/>
      </c>
    </row>
    <row r="57" ht="15" customHeight="1">
      <c r="A57" t="inlineStr">
        <is>
          <t>A 53367-2024</t>
        </is>
      </c>
      <c r="B57" s="1" t="n">
        <v>45614</v>
      </c>
      <c r="C57" s="1" t="n">
        <v>45637</v>
      </c>
      <c r="D57" t="inlineStr">
        <is>
          <t>KALMAR LÄN</t>
        </is>
      </c>
      <c r="E57" t="inlineStr">
        <is>
          <t>MÖNSTERÅS</t>
        </is>
      </c>
      <c r="G57" t="n">
        <v>7.1</v>
      </c>
      <c r="H57" t="n">
        <v>2</v>
      </c>
      <c r="I57" t="n">
        <v>0</v>
      </c>
      <c r="J57" t="n">
        <v>0</v>
      </c>
      <c r="K57" t="n">
        <v>0</v>
      </c>
      <c r="L57" t="n">
        <v>0</v>
      </c>
      <c r="M57" t="n">
        <v>0</v>
      </c>
      <c r="N57" t="n">
        <v>0</v>
      </c>
      <c r="O57" t="n">
        <v>0</v>
      </c>
      <c r="P57" t="n">
        <v>0</v>
      </c>
      <c r="Q57" t="n">
        <v>2</v>
      </c>
      <c r="R57" s="2" t="inlineStr">
        <is>
          <t>Citronfläckad kärrtrollslända
Vanlig snok</t>
        </is>
      </c>
      <c r="S57">
        <f>HYPERLINK("https://klasma.github.io/Logging_0861/artfynd/A 53367-2024 artfynd.xlsx", "A 53367-2024")</f>
        <v/>
      </c>
      <c r="T57">
        <f>HYPERLINK("https://klasma.github.io/Logging_0861/kartor/A 53367-2024 karta.png", "A 53367-2024")</f>
        <v/>
      </c>
      <c r="V57">
        <f>HYPERLINK("https://klasma.github.io/Logging_0861/klagomål/A 53367-2024 FSC-klagomål.docx", "A 53367-2024")</f>
        <v/>
      </c>
      <c r="W57">
        <f>HYPERLINK("https://klasma.github.io/Logging_0861/klagomålsmail/A 53367-2024 FSC-klagomål mail.docx", "A 53367-2024")</f>
        <v/>
      </c>
      <c r="X57">
        <f>HYPERLINK("https://klasma.github.io/Logging_0861/tillsyn/A 53367-2024 tillsynsbegäran.docx", "A 53367-2024")</f>
        <v/>
      </c>
      <c r="Y57">
        <f>HYPERLINK("https://klasma.github.io/Logging_0861/tillsynsmail/A 53367-2024 tillsynsbegäran mail.docx", "A 53367-2024")</f>
        <v/>
      </c>
    </row>
    <row r="58" ht="15" customHeight="1">
      <c r="A58" t="inlineStr">
        <is>
          <t>A 20056-2019</t>
        </is>
      </c>
      <c r="B58" s="1" t="n">
        <v>43570</v>
      </c>
      <c r="C58" s="1" t="n">
        <v>45637</v>
      </c>
      <c r="D58" t="inlineStr">
        <is>
          <t>KALMAR LÄN</t>
        </is>
      </c>
      <c r="E58" t="inlineStr">
        <is>
          <t>MÖNSTERÅS</t>
        </is>
      </c>
      <c r="G58" t="n">
        <v>3.6</v>
      </c>
      <c r="H58" t="n">
        <v>1</v>
      </c>
      <c r="I58" t="n">
        <v>0</v>
      </c>
      <c r="J58" t="n">
        <v>0</v>
      </c>
      <c r="K58" t="n">
        <v>0</v>
      </c>
      <c r="L58" t="n">
        <v>0</v>
      </c>
      <c r="M58" t="n">
        <v>0</v>
      </c>
      <c r="N58" t="n">
        <v>0</v>
      </c>
      <c r="O58" t="n">
        <v>0</v>
      </c>
      <c r="P58" t="n">
        <v>0</v>
      </c>
      <c r="Q58" t="n">
        <v>1</v>
      </c>
      <c r="R58" s="2" t="inlineStr">
        <is>
          <t>Fiskgjuse</t>
        </is>
      </c>
      <c r="S58">
        <f>HYPERLINK("https://klasma.github.io/Logging_0861/artfynd/A 20056-2019 artfynd.xlsx", "A 20056-2019")</f>
        <v/>
      </c>
      <c r="T58">
        <f>HYPERLINK("https://klasma.github.io/Logging_0861/kartor/A 20056-2019 karta.png", "A 20056-2019")</f>
        <v/>
      </c>
      <c r="V58">
        <f>HYPERLINK("https://klasma.github.io/Logging_0861/klagomål/A 20056-2019 FSC-klagomål.docx", "A 20056-2019")</f>
        <v/>
      </c>
      <c r="W58">
        <f>HYPERLINK("https://klasma.github.io/Logging_0861/klagomålsmail/A 20056-2019 FSC-klagomål mail.docx", "A 20056-2019")</f>
        <v/>
      </c>
      <c r="X58">
        <f>HYPERLINK("https://klasma.github.io/Logging_0861/tillsyn/A 20056-2019 tillsynsbegäran.docx", "A 20056-2019")</f>
        <v/>
      </c>
      <c r="Y58">
        <f>HYPERLINK("https://klasma.github.io/Logging_0861/tillsynsmail/A 20056-2019 tillsynsbegäran mail.docx", "A 20056-2019")</f>
        <v/>
      </c>
      <c r="Z58">
        <f>HYPERLINK("https://klasma.github.io/Logging_0861/fåglar/A 20056-2019 prioriterade fågelarter.docx", "A 20056-2019")</f>
        <v/>
      </c>
    </row>
    <row r="59" ht="15" customHeight="1">
      <c r="A59" t="inlineStr">
        <is>
          <t>A 27556-2019</t>
        </is>
      </c>
      <c r="B59" s="1" t="n">
        <v>43619</v>
      </c>
      <c r="C59" s="1" t="n">
        <v>45637</v>
      </c>
      <c r="D59" t="inlineStr">
        <is>
          <t>KALMAR LÄN</t>
        </is>
      </c>
      <c r="E59" t="inlineStr">
        <is>
          <t>MÖNSTERÅS</t>
        </is>
      </c>
      <c r="G59" t="n">
        <v>6.4</v>
      </c>
      <c r="H59" t="n">
        <v>1</v>
      </c>
      <c r="I59" t="n">
        <v>0</v>
      </c>
      <c r="J59" t="n">
        <v>1</v>
      </c>
      <c r="K59" t="n">
        <v>0</v>
      </c>
      <c r="L59" t="n">
        <v>0</v>
      </c>
      <c r="M59" t="n">
        <v>0</v>
      </c>
      <c r="N59" t="n">
        <v>0</v>
      </c>
      <c r="O59" t="n">
        <v>1</v>
      </c>
      <c r="P59" t="n">
        <v>0</v>
      </c>
      <c r="Q59" t="n">
        <v>1</v>
      </c>
      <c r="R59" s="2" t="inlineStr">
        <is>
          <t>Havsörn</t>
        </is>
      </c>
      <c r="S59">
        <f>HYPERLINK("https://klasma.github.io/Logging_0861/artfynd/A 27556-2019 artfynd.xlsx", "A 27556-2019")</f>
        <v/>
      </c>
      <c r="T59">
        <f>HYPERLINK("https://klasma.github.io/Logging_0861/kartor/A 27556-2019 karta.png", "A 27556-2019")</f>
        <v/>
      </c>
      <c r="V59">
        <f>HYPERLINK("https://klasma.github.io/Logging_0861/klagomål/A 27556-2019 FSC-klagomål.docx", "A 27556-2019")</f>
        <v/>
      </c>
      <c r="W59">
        <f>HYPERLINK("https://klasma.github.io/Logging_0861/klagomålsmail/A 27556-2019 FSC-klagomål mail.docx", "A 27556-2019")</f>
        <v/>
      </c>
      <c r="X59">
        <f>HYPERLINK("https://klasma.github.io/Logging_0861/tillsyn/A 27556-2019 tillsynsbegäran.docx", "A 27556-2019")</f>
        <v/>
      </c>
      <c r="Y59">
        <f>HYPERLINK("https://klasma.github.io/Logging_0861/tillsynsmail/A 27556-2019 tillsynsbegäran mail.docx", "A 27556-2019")</f>
        <v/>
      </c>
      <c r="Z59">
        <f>HYPERLINK("https://klasma.github.io/Logging_0861/fåglar/A 27556-2019 prioriterade fågelarter.docx", "A 27556-2019")</f>
        <v/>
      </c>
    </row>
    <row r="60" ht="15" customHeight="1">
      <c r="A60" t="inlineStr">
        <is>
          <t>A 34728-2019</t>
        </is>
      </c>
      <c r="B60" s="1" t="n">
        <v>43648</v>
      </c>
      <c r="C60" s="1" t="n">
        <v>45637</v>
      </c>
      <c r="D60" t="inlineStr">
        <is>
          <t>KALMAR LÄN</t>
        </is>
      </c>
      <c r="E60" t="inlineStr">
        <is>
          <t>MÖNSTERÅS</t>
        </is>
      </c>
      <c r="G60" t="n">
        <v>1</v>
      </c>
      <c r="H60" t="n">
        <v>0</v>
      </c>
      <c r="I60" t="n">
        <v>0</v>
      </c>
      <c r="J60" t="n">
        <v>1</v>
      </c>
      <c r="K60" t="n">
        <v>0</v>
      </c>
      <c r="L60" t="n">
        <v>0</v>
      </c>
      <c r="M60" t="n">
        <v>0</v>
      </c>
      <c r="N60" t="n">
        <v>0</v>
      </c>
      <c r="O60" t="n">
        <v>1</v>
      </c>
      <c r="P60" t="n">
        <v>0</v>
      </c>
      <c r="Q60" t="n">
        <v>1</v>
      </c>
      <c r="R60" s="2" t="inlineStr">
        <is>
          <t>Tallticka</t>
        </is>
      </c>
      <c r="S60">
        <f>HYPERLINK("https://klasma.github.io/Logging_0861/artfynd/A 34728-2019 artfynd.xlsx", "A 34728-2019")</f>
        <v/>
      </c>
      <c r="T60">
        <f>HYPERLINK("https://klasma.github.io/Logging_0861/kartor/A 34728-2019 karta.png", "A 34728-2019")</f>
        <v/>
      </c>
      <c r="V60">
        <f>HYPERLINK("https://klasma.github.io/Logging_0861/klagomål/A 34728-2019 FSC-klagomål.docx", "A 34728-2019")</f>
        <v/>
      </c>
      <c r="W60">
        <f>HYPERLINK("https://klasma.github.io/Logging_0861/klagomålsmail/A 34728-2019 FSC-klagomål mail.docx", "A 34728-2019")</f>
        <v/>
      </c>
      <c r="X60">
        <f>HYPERLINK("https://klasma.github.io/Logging_0861/tillsyn/A 34728-2019 tillsynsbegäran.docx", "A 34728-2019")</f>
        <v/>
      </c>
      <c r="Y60">
        <f>HYPERLINK("https://klasma.github.io/Logging_0861/tillsynsmail/A 34728-2019 tillsynsbegäran mail.docx", "A 34728-2019")</f>
        <v/>
      </c>
    </row>
    <row r="61" ht="15" customHeight="1">
      <c r="A61" t="inlineStr">
        <is>
          <t>A 41664-2019</t>
        </is>
      </c>
      <c r="B61" s="1" t="n">
        <v>43699</v>
      </c>
      <c r="C61" s="1" t="n">
        <v>45637</v>
      </c>
      <c r="D61" t="inlineStr">
        <is>
          <t>KALMAR LÄN</t>
        </is>
      </c>
      <c r="E61" t="inlineStr">
        <is>
          <t>MÖNSTERÅS</t>
        </is>
      </c>
      <c r="G61" t="n">
        <v>10.2</v>
      </c>
      <c r="H61" t="n">
        <v>0</v>
      </c>
      <c r="I61" t="n">
        <v>1</v>
      </c>
      <c r="J61" t="n">
        <v>0</v>
      </c>
      <c r="K61" t="n">
        <v>0</v>
      </c>
      <c r="L61" t="n">
        <v>0</v>
      </c>
      <c r="M61" t="n">
        <v>0</v>
      </c>
      <c r="N61" t="n">
        <v>0</v>
      </c>
      <c r="O61" t="n">
        <v>0</v>
      </c>
      <c r="P61" t="n">
        <v>0</v>
      </c>
      <c r="Q61" t="n">
        <v>1</v>
      </c>
      <c r="R61" s="2" t="inlineStr">
        <is>
          <t>Underviol</t>
        </is>
      </c>
      <c r="S61">
        <f>HYPERLINK("https://klasma.github.io/Logging_0861/artfynd/A 41664-2019 artfynd.xlsx", "A 41664-2019")</f>
        <v/>
      </c>
      <c r="T61">
        <f>HYPERLINK("https://klasma.github.io/Logging_0861/kartor/A 41664-2019 karta.png", "A 41664-2019")</f>
        <v/>
      </c>
      <c r="V61">
        <f>HYPERLINK("https://klasma.github.io/Logging_0861/klagomål/A 41664-2019 FSC-klagomål.docx", "A 41664-2019")</f>
        <v/>
      </c>
      <c r="W61">
        <f>HYPERLINK("https://klasma.github.io/Logging_0861/klagomålsmail/A 41664-2019 FSC-klagomål mail.docx", "A 41664-2019")</f>
        <v/>
      </c>
      <c r="X61">
        <f>HYPERLINK("https://klasma.github.io/Logging_0861/tillsyn/A 41664-2019 tillsynsbegäran.docx", "A 41664-2019")</f>
        <v/>
      </c>
      <c r="Y61">
        <f>HYPERLINK("https://klasma.github.io/Logging_0861/tillsynsmail/A 41664-2019 tillsynsbegäran mail.docx", "A 41664-2019")</f>
        <v/>
      </c>
    </row>
    <row r="62" ht="15" customHeight="1">
      <c r="A62" t="inlineStr">
        <is>
          <t>A 43503-2019</t>
        </is>
      </c>
      <c r="B62" s="1" t="n">
        <v>43706</v>
      </c>
      <c r="C62" s="1" t="n">
        <v>45637</v>
      </c>
      <c r="D62" t="inlineStr">
        <is>
          <t>KALMAR LÄN</t>
        </is>
      </c>
      <c r="E62" t="inlineStr">
        <is>
          <t>MÖNSTERÅS</t>
        </is>
      </c>
      <c r="G62" t="n">
        <v>7.5</v>
      </c>
      <c r="H62" t="n">
        <v>0</v>
      </c>
      <c r="I62" t="n">
        <v>0</v>
      </c>
      <c r="J62" t="n">
        <v>1</v>
      </c>
      <c r="K62" t="n">
        <v>0</v>
      </c>
      <c r="L62" t="n">
        <v>0</v>
      </c>
      <c r="M62" t="n">
        <v>0</v>
      </c>
      <c r="N62" t="n">
        <v>0</v>
      </c>
      <c r="O62" t="n">
        <v>1</v>
      </c>
      <c r="P62" t="n">
        <v>0</v>
      </c>
      <c r="Q62" t="n">
        <v>1</v>
      </c>
      <c r="R62" s="2" t="inlineStr">
        <is>
          <t>Ekgetingbock</t>
        </is>
      </c>
      <c r="S62">
        <f>HYPERLINK("https://klasma.github.io/Logging_0861/artfynd/A 43503-2019 artfynd.xlsx", "A 43503-2019")</f>
        <v/>
      </c>
      <c r="T62">
        <f>HYPERLINK("https://klasma.github.io/Logging_0861/kartor/A 43503-2019 karta.png", "A 43503-2019")</f>
        <v/>
      </c>
      <c r="V62">
        <f>HYPERLINK("https://klasma.github.io/Logging_0861/klagomål/A 43503-2019 FSC-klagomål.docx", "A 43503-2019")</f>
        <v/>
      </c>
      <c r="W62">
        <f>HYPERLINK("https://klasma.github.io/Logging_0861/klagomålsmail/A 43503-2019 FSC-klagomål mail.docx", "A 43503-2019")</f>
        <v/>
      </c>
      <c r="X62">
        <f>HYPERLINK("https://klasma.github.io/Logging_0861/tillsyn/A 43503-2019 tillsynsbegäran.docx", "A 43503-2019")</f>
        <v/>
      </c>
      <c r="Y62">
        <f>HYPERLINK("https://klasma.github.io/Logging_0861/tillsynsmail/A 43503-2019 tillsynsbegäran mail.docx", "A 43503-2019")</f>
        <v/>
      </c>
    </row>
    <row r="63" ht="15" customHeight="1">
      <c r="A63" t="inlineStr">
        <is>
          <t>A 57302-2019</t>
        </is>
      </c>
      <c r="B63" s="1" t="n">
        <v>43760</v>
      </c>
      <c r="C63" s="1" t="n">
        <v>45637</v>
      </c>
      <c r="D63" t="inlineStr">
        <is>
          <t>KALMAR LÄN</t>
        </is>
      </c>
      <c r="E63" t="inlineStr">
        <is>
          <t>MÖNSTERÅS</t>
        </is>
      </c>
      <c r="G63" t="n">
        <v>11.3</v>
      </c>
      <c r="H63" t="n">
        <v>0</v>
      </c>
      <c r="I63" t="n">
        <v>0</v>
      </c>
      <c r="J63" t="n">
        <v>1</v>
      </c>
      <c r="K63" t="n">
        <v>0</v>
      </c>
      <c r="L63" t="n">
        <v>0</v>
      </c>
      <c r="M63" t="n">
        <v>0</v>
      </c>
      <c r="N63" t="n">
        <v>0</v>
      </c>
      <c r="O63" t="n">
        <v>1</v>
      </c>
      <c r="P63" t="n">
        <v>0</v>
      </c>
      <c r="Q63" t="n">
        <v>1</v>
      </c>
      <c r="R63" s="2" t="inlineStr">
        <is>
          <t>Spetspraktbagge</t>
        </is>
      </c>
      <c r="S63">
        <f>HYPERLINK("https://klasma.github.io/Logging_0861/artfynd/A 57302-2019 artfynd.xlsx", "A 57302-2019")</f>
        <v/>
      </c>
      <c r="T63">
        <f>HYPERLINK("https://klasma.github.io/Logging_0861/kartor/A 57302-2019 karta.png", "A 57302-2019")</f>
        <v/>
      </c>
      <c r="V63">
        <f>HYPERLINK("https://klasma.github.io/Logging_0861/klagomål/A 57302-2019 FSC-klagomål.docx", "A 57302-2019")</f>
        <v/>
      </c>
      <c r="W63">
        <f>HYPERLINK("https://klasma.github.io/Logging_0861/klagomålsmail/A 57302-2019 FSC-klagomål mail.docx", "A 57302-2019")</f>
        <v/>
      </c>
      <c r="X63">
        <f>HYPERLINK("https://klasma.github.io/Logging_0861/tillsyn/A 57302-2019 tillsynsbegäran.docx", "A 57302-2019")</f>
        <v/>
      </c>
      <c r="Y63">
        <f>HYPERLINK("https://klasma.github.io/Logging_0861/tillsynsmail/A 57302-2019 tillsynsbegäran mail.docx", "A 57302-2019")</f>
        <v/>
      </c>
    </row>
    <row r="64" ht="15" customHeight="1">
      <c r="A64" t="inlineStr">
        <is>
          <t>A 65105-2019</t>
        </is>
      </c>
      <c r="B64" s="1" t="n">
        <v>43802</v>
      </c>
      <c r="C64" s="1" t="n">
        <v>45637</v>
      </c>
      <c r="D64" t="inlineStr">
        <is>
          <t>KALMAR LÄN</t>
        </is>
      </c>
      <c r="E64" t="inlineStr">
        <is>
          <t>MÖNSTERÅS</t>
        </is>
      </c>
      <c r="G64" t="n">
        <v>11.6</v>
      </c>
      <c r="H64" t="n">
        <v>0</v>
      </c>
      <c r="I64" t="n">
        <v>1</v>
      </c>
      <c r="J64" t="n">
        <v>0</v>
      </c>
      <c r="K64" t="n">
        <v>0</v>
      </c>
      <c r="L64" t="n">
        <v>0</v>
      </c>
      <c r="M64" t="n">
        <v>0</v>
      </c>
      <c r="N64" t="n">
        <v>0</v>
      </c>
      <c r="O64" t="n">
        <v>0</v>
      </c>
      <c r="P64" t="n">
        <v>0</v>
      </c>
      <c r="Q64" t="n">
        <v>1</v>
      </c>
      <c r="R64" s="2" t="inlineStr">
        <is>
          <t>Grönpyrola</t>
        </is>
      </c>
      <c r="S64">
        <f>HYPERLINK("https://klasma.github.io/Logging_0861/artfynd/A 65105-2019 artfynd.xlsx", "A 65105-2019")</f>
        <v/>
      </c>
      <c r="T64">
        <f>HYPERLINK("https://klasma.github.io/Logging_0861/kartor/A 65105-2019 karta.png", "A 65105-2019")</f>
        <v/>
      </c>
      <c r="V64">
        <f>HYPERLINK("https://klasma.github.io/Logging_0861/klagomål/A 65105-2019 FSC-klagomål.docx", "A 65105-2019")</f>
        <v/>
      </c>
      <c r="W64">
        <f>HYPERLINK("https://klasma.github.io/Logging_0861/klagomålsmail/A 65105-2019 FSC-klagomål mail.docx", "A 65105-2019")</f>
        <v/>
      </c>
      <c r="X64">
        <f>HYPERLINK("https://klasma.github.io/Logging_0861/tillsyn/A 65105-2019 tillsynsbegäran.docx", "A 65105-2019")</f>
        <v/>
      </c>
      <c r="Y64">
        <f>HYPERLINK("https://klasma.github.io/Logging_0861/tillsynsmail/A 65105-2019 tillsynsbegäran mail.docx", "A 65105-2019")</f>
        <v/>
      </c>
    </row>
    <row r="65" ht="15" customHeight="1">
      <c r="A65" t="inlineStr">
        <is>
          <t>A 69121-2019</t>
        </is>
      </c>
      <c r="B65" s="1" t="n">
        <v>43815</v>
      </c>
      <c r="C65" s="1" t="n">
        <v>45637</v>
      </c>
      <c r="D65" t="inlineStr">
        <is>
          <t>KALMAR LÄN</t>
        </is>
      </c>
      <c r="E65" t="inlineStr">
        <is>
          <t>MÖNSTERÅS</t>
        </is>
      </c>
      <c r="F65" t="inlineStr">
        <is>
          <t>Övriga Aktiebolag</t>
        </is>
      </c>
      <c r="G65" t="n">
        <v>0.9</v>
      </c>
      <c r="H65" t="n">
        <v>0</v>
      </c>
      <c r="I65" t="n">
        <v>0</v>
      </c>
      <c r="J65" t="n">
        <v>1</v>
      </c>
      <c r="K65" t="n">
        <v>0</v>
      </c>
      <c r="L65" t="n">
        <v>0</v>
      </c>
      <c r="M65" t="n">
        <v>0</v>
      </c>
      <c r="N65" t="n">
        <v>0</v>
      </c>
      <c r="O65" t="n">
        <v>1</v>
      </c>
      <c r="P65" t="n">
        <v>0</v>
      </c>
      <c r="Q65" t="n">
        <v>1</v>
      </c>
      <c r="R65" s="2" t="inlineStr">
        <is>
          <t>Skogslysing</t>
        </is>
      </c>
      <c r="S65">
        <f>HYPERLINK("https://klasma.github.io/Logging_0861/artfynd/A 69121-2019 artfynd.xlsx", "A 69121-2019")</f>
        <v/>
      </c>
      <c r="T65">
        <f>HYPERLINK("https://klasma.github.io/Logging_0861/kartor/A 69121-2019 karta.png", "A 69121-2019")</f>
        <v/>
      </c>
      <c r="V65">
        <f>HYPERLINK("https://klasma.github.io/Logging_0861/klagomål/A 69121-2019 FSC-klagomål.docx", "A 69121-2019")</f>
        <v/>
      </c>
      <c r="W65">
        <f>HYPERLINK("https://klasma.github.io/Logging_0861/klagomålsmail/A 69121-2019 FSC-klagomål mail.docx", "A 69121-2019")</f>
        <v/>
      </c>
      <c r="X65">
        <f>HYPERLINK("https://klasma.github.io/Logging_0861/tillsyn/A 69121-2019 tillsynsbegäran.docx", "A 69121-2019")</f>
        <v/>
      </c>
      <c r="Y65">
        <f>HYPERLINK("https://klasma.github.io/Logging_0861/tillsynsmail/A 69121-2019 tillsynsbegäran mail.docx", "A 69121-2019")</f>
        <v/>
      </c>
    </row>
    <row r="66" ht="15" customHeight="1">
      <c r="A66" t="inlineStr">
        <is>
          <t>A 5038-2020</t>
        </is>
      </c>
      <c r="B66" s="1" t="n">
        <v>43859</v>
      </c>
      <c r="C66" s="1" t="n">
        <v>45637</v>
      </c>
      <c r="D66" t="inlineStr">
        <is>
          <t>KALMAR LÄN</t>
        </is>
      </c>
      <c r="E66" t="inlineStr">
        <is>
          <t>MÖNSTERÅS</t>
        </is>
      </c>
      <c r="G66" t="n">
        <v>13.6</v>
      </c>
      <c r="H66" t="n">
        <v>1</v>
      </c>
      <c r="I66" t="n">
        <v>0</v>
      </c>
      <c r="J66" t="n">
        <v>0</v>
      </c>
      <c r="K66" t="n">
        <v>1</v>
      </c>
      <c r="L66" t="n">
        <v>0</v>
      </c>
      <c r="M66" t="n">
        <v>0</v>
      </c>
      <c r="N66" t="n">
        <v>0</v>
      </c>
      <c r="O66" t="n">
        <v>1</v>
      </c>
      <c r="P66" t="n">
        <v>1</v>
      </c>
      <c r="Q66" t="n">
        <v>1</v>
      </c>
      <c r="R66" s="2" t="inlineStr">
        <is>
          <t>Knärot</t>
        </is>
      </c>
      <c r="S66">
        <f>HYPERLINK("https://klasma.github.io/Logging_0861/artfynd/A 5038-2020 artfynd.xlsx", "A 5038-2020")</f>
        <v/>
      </c>
      <c r="T66">
        <f>HYPERLINK("https://klasma.github.io/Logging_0861/kartor/A 5038-2020 karta.png", "A 5038-2020")</f>
        <v/>
      </c>
      <c r="U66">
        <f>HYPERLINK("https://klasma.github.io/Logging_0861/knärot/A 5038-2020 karta knärot.png", "A 5038-2020")</f>
        <v/>
      </c>
      <c r="V66">
        <f>HYPERLINK("https://klasma.github.io/Logging_0861/klagomål/A 5038-2020 FSC-klagomål.docx", "A 5038-2020")</f>
        <v/>
      </c>
      <c r="W66">
        <f>HYPERLINK("https://klasma.github.io/Logging_0861/klagomålsmail/A 5038-2020 FSC-klagomål mail.docx", "A 5038-2020")</f>
        <v/>
      </c>
      <c r="X66">
        <f>HYPERLINK("https://klasma.github.io/Logging_0861/tillsyn/A 5038-2020 tillsynsbegäran.docx", "A 5038-2020")</f>
        <v/>
      </c>
      <c r="Y66">
        <f>HYPERLINK("https://klasma.github.io/Logging_0861/tillsynsmail/A 5038-2020 tillsynsbegäran mail.docx", "A 5038-2020")</f>
        <v/>
      </c>
    </row>
    <row r="67" ht="15" customHeight="1">
      <c r="A67" t="inlineStr">
        <is>
          <t>A 7371-2020</t>
        </is>
      </c>
      <c r="B67" s="1" t="n">
        <v>43871</v>
      </c>
      <c r="C67" s="1" t="n">
        <v>45637</v>
      </c>
      <c r="D67" t="inlineStr">
        <is>
          <t>KALMAR LÄN</t>
        </is>
      </c>
      <c r="E67" t="inlineStr">
        <is>
          <t>MÖNSTERÅS</t>
        </is>
      </c>
      <c r="G67" t="n">
        <v>7.1</v>
      </c>
      <c r="H67" t="n">
        <v>0</v>
      </c>
      <c r="I67" t="n">
        <v>0</v>
      </c>
      <c r="J67" t="n">
        <v>1</v>
      </c>
      <c r="K67" t="n">
        <v>0</v>
      </c>
      <c r="L67" t="n">
        <v>0</v>
      </c>
      <c r="M67" t="n">
        <v>0</v>
      </c>
      <c r="N67" t="n">
        <v>0</v>
      </c>
      <c r="O67" t="n">
        <v>1</v>
      </c>
      <c r="P67" t="n">
        <v>0</v>
      </c>
      <c r="Q67" t="n">
        <v>1</v>
      </c>
      <c r="R67" s="2" t="inlineStr">
        <is>
          <t>Rödbrun blankbock</t>
        </is>
      </c>
      <c r="S67">
        <f>HYPERLINK("https://klasma.github.io/Logging_0861/artfynd/A 7371-2020 artfynd.xlsx", "A 7371-2020")</f>
        <v/>
      </c>
      <c r="T67">
        <f>HYPERLINK("https://klasma.github.io/Logging_0861/kartor/A 7371-2020 karta.png", "A 7371-2020")</f>
        <v/>
      </c>
      <c r="V67">
        <f>HYPERLINK("https://klasma.github.io/Logging_0861/klagomål/A 7371-2020 FSC-klagomål.docx", "A 7371-2020")</f>
        <v/>
      </c>
      <c r="W67">
        <f>HYPERLINK("https://klasma.github.io/Logging_0861/klagomålsmail/A 7371-2020 FSC-klagomål mail.docx", "A 7371-2020")</f>
        <v/>
      </c>
      <c r="X67">
        <f>HYPERLINK("https://klasma.github.io/Logging_0861/tillsyn/A 7371-2020 tillsynsbegäran.docx", "A 7371-2020")</f>
        <v/>
      </c>
      <c r="Y67">
        <f>HYPERLINK("https://klasma.github.io/Logging_0861/tillsynsmail/A 7371-2020 tillsynsbegäran mail.docx", "A 7371-2020")</f>
        <v/>
      </c>
    </row>
    <row r="68" ht="15" customHeight="1">
      <c r="A68" t="inlineStr">
        <is>
          <t>A 29616-2020</t>
        </is>
      </c>
      <c r="B68" s="1" t="n">
        <v>44004</v>
      </c>
      <c r="C68" s="1" t="n">
        <v>45637</v>
      </c>
      <c r="D68" t="inlineStr">
        <is>
          <t>KALMAR LÄN</t>
        </is>
      </c>
      <c r="E68" t="inlineStr">
        <is>
          <t>MÖNSTERÅS</t>
        </is>
      </c>
      <c r="G68" t="n">
        <v>2.9</v>
      </c>
      <c r="H68" t="n">
        <v>0</v>
      </c>
      <c r="I68" t="n">
        <v>1</v>
      </c>
      <c r="J68" t="n">
        <v>0</v>
      </c>
      <c r="K68" t="n">
        <v>0</v>
      </c>
      <c r="L68" t="n">
        <v>0</v>
      </c>
      <c r="M68" t="n">
        <v>0</v>
      </c>
      <c r="N68" t="n">
        <v>0</v>
      </c>
      <c r="O68" t="n">
        <v>0</v>
      </c>
      <c r="P68" t="n">
        <v>0</v>
      </c>
      <c r="Q68" t="n">
        <v>1</v>
      </c>
      <c r="R68" s="2" t="inlineStr">
        <is>
          <t>Granbarkgnagare</t>
        </is>
      </c>
      <c r="S68">
        <f>HYPERLINK("https://klasma.github.io/Logging_0861/artfynd/A 29616-2020 artfynd.xlsx", "A 29616-2020")</f>
        <v/>
      </c>
      <c r="T68">
        <f>HYPERLINK("https://klasma.github.io/Logging_0861/kartor/A 29616-2020 karta.png", "A 29616-2020")</f>
        <v/>
      </c>
      <c r="V68">
        <f>HYPERLINK("https://klasma.github.io/Logging_0861/klagomål/A 29616-2020 FSC-klagomål.docx", "A 29616-2020")</f>
        <v/>
      </c>
      <c r="W68">
        <f>HYPERLINK("https://klasma.github.io/Logging_0861/klagomålsmail/A 29616-2020 FSC-klagomål mail.docx", "A 29616-2020")</f>
        <v/>
      </c>
      <c r="X68">
        <f>HYPERLINK("https://klasma.github.io/Logging_0861/tillsyn/A 29616-2020 tillsynsbegäran.docx", "A 29616-2020")</f>
        <v/>
      </c>
      <c r="Y68">
        <f>HYPERLINK("https://klasma.github.io/Logging_0861/tillsynsmail/A 29616-2020 tillsynsbegäran mail.docx", "A 29616-2020")</f>
        <v/>
      </c>
    </row>
    <row r="69" ht="15" customHeight="1">
      <c r="A69" t="inlineStr">
        <is>
          <t>A 32143-2020</t>
        </is>
      </c>
      <c r="B69" s="1" t="n">
        <v>44015</v>
      </c>
      <c r="C69" s="1" t="n">
        <v>45637</v>
      </c>
      <c r="D69" t="inlineStr">
        <is>
          <t>KALMAR LÄN</t>
        </is>
      </c>
      <c r="E69" t="inlineStr">
        <is>
          <t>MÖNSTERÅS</t>
        </is>
      </c>
      <c r="G69" t="n">
        <v>12.1</v>
      </c>
      <c r="H69" t="n">
        <v>0</v>
      </c>
      <c r="I69" t="n">
        <v>0</v>
      </c>
      <c r="J69" t="n">
        <v>1</v>
      </c>
      <c r="K69" t="n">
        <v>0</v>
      </c>
      <c r="L69" t="n">
        <v>0</v>
      </c>
      <c r="M69" t="n">
        <v>0</v>
      </c>
      <c r="N69" t="n">
        <v>0</v>
      </c>
      <c r="O69" t="n">
        <v>1</v>
      </c>
      <c r="P69" t="n">
        <v>0</v>
      </c>
      <c r="Q69" t="n">
        <v>1</v>
      </c>
      <c r="R69" s="2" t="inlineStr">
        <is>
          <t>Tallticka</t>
        </is>
      </c>
      <c r="S69">
        <f>HYPERLINK("https://klasma.github.io/Logging_0861/artfynd/A 32143-2020 artfynd.xlsx", "A 32143-2020")</f>
        <v/>
      </c>
      <c r="T69">
        <f>HYPERLINK("https://klasma.github.io/Logging_0861/kartor/A 32143-2020 karta.png", "A 32143-2020")</f>
        <v/>
      </c>
      <c r="V69">
        <f>HYPERLINK("https://klasma.github.io/Logging_0861/klagomål/A 32143-2020 FSC-klagomål.docx", "A 32143-2020")</f>
        <v/>
      </c>
      <c r="W69">
        <f>HYPERLINK("https://klasma.github.io/Logging_0861/klagomålsmail/A 32143-2020 FSC-klagomål mail.docx", "A 32143-2020")</f>
        <v/>
      </c>
      <c r="X69">
        <f>HYPERLINK("https://klasma.github.io/Logging_0861/tillsyn/A 32143-2020 tillsynsbegäran.docx", "A 32143-2020")</f>
        <v/>
      </c>
      <c r="Y69">
        <f>HYPERLINK("https://klasma.github.io/Logging_0861/tillsynsmail/A 32143-2020 tillsynsbegäran mail.docx", "A 32143-2020")</f>
        <v/>
      </c>
    </row>
    <row r="70" ht="15" customHeight="1">
      <c r="A70" t="inlineStr">
        <is>
          <t>A 4313-2021</t>
        </is>
      </c>
      <c r="B70" s="1" t="n">
        <v>44223</v>
      </c>
      <c r="C70" s="1" t="n">
        <v>45637</v>
      </c>
      <c r="D70" t="inlineStr">
        <is>
          <t>KALMAR LÄN</t>
        </is>
      </c>
      <c r="E70" t="inlineStr">
        <is>
          <t>MÖNSTERÅS</t>
        </is>
      </c>
      <c r="G70" t="n">
        <v>16.5</v>
      </c>
      <c r="H70" t="n">
        <v>1</v>
      </c>
      <c r="I70" t="n">
        <v>0</v>
      </c>
      <c r="J70" t="n">
        <v>0</v>
      </c>
      <c r="K70" t="n">
        <v>1</v>
      </c>
      <c r="L70" t="n">
        <v>0</v>
      </c>
      <c r="M70" t="n">
        <v>0</v>
      </c>
      <c r="N70" t="n">
        <v>0</v>
      </c>
      <c r="O70" t="n">
        <v>1</v>
      </c>
      <c r="P70" t="n">
        <v>1</v>
      </c>
      <c r="Q70" t="n">
        <v>1</v>
      </c>
      <c r="R70" s="2" t="inlineStr">
        <is>
          <t>Knärot</t>
        </is>
      </c>
      <c r="S70">
        <f>HYPERLINK("https://klasma.github.io/Logging_0861/artfynd/A 4313-2021 artfynd.xlsx", "A 4313-2021")</f>
        <v/>
      </c>
      <c r="T70">
        <f>HYPERLINK("https://klasma.github.io/Logging_0861/kartor/A 4313-2021 karta.png", "A 4313-2021")</f>
        <v/>
      </c>
      <c r="U70">
        <f>HYPERLINK("https://klasma.github.io/Logging_0861/knärot/A 4313-2021 karta knärot.png", "A 4313-2021")</f>
        <v/>
      </c>
      <c r="V70">
        <f>HYPERLINK("https://klasma.github.io/Logging_0861/klagomål/A 4313-2021 FSC-klagomål.docx", "A 4313-2021")</f>
        <v/>
      </c>
      <c r="W70">
        <f>HYPERLINK("https://klasma.github.io/Logging_0861/klagomålsmail/A 4313-2021 FSC-klagomål mail.docx", "A 4313-2021")</f>
        <v/>
      </c>
      <c r="X70">
        <f>HYPERLINK("https://klasma.github.io/Logging_0861/tillsyn/A 4313-2021 tillsynsbegäran.docx", "A 4313-2021")</f>
        <v/>
      </c>
      <c r="Y70">
        <f>HYPERLINK("https://klasma.github.io/Logging_0861/tillsynsmail/A 4313-2021 tillsynsbegäran mail.docx", "A 4313-2021")</f>
        <v/>
      </c>
    </row>
    <row r="71" ht="15" customHeight="1">
      <c r="A71" t="inlineStr">
        <is>
          <t>A 7747-2021</t>
        </is>
      </c>
      <c r="B71" s="1" t="n">
        <v>44242</v>
      </c>
      <c r="C71" s="1" t="n">
        <v>45637</v>
      </c>
      <c r="D71" t="inlineStr">
        <is>
          <t>KALMAR LÄN</t>
        </is>
      </c>
      <c r="E71" t="inlineStr">
        <is>
          <t>MÖNSTERÅS</t>
        </is>
      </c>
      <c r="G71" t="n">
        <v>14.7</v>
      </c>
      <c r="H71" t="n">
        <v>1</v>
      </c>
      <c r="I71" t="n">
        <v>0</v>
      </c>
      <c r="J71" t="n">
        <v>0</v>
      </c>
      <c r="K71" t="n">
        <v>0</v>
      </c>
      <c r="L71" t="n">
        <v>1</v>
      </c>
      <c r="M71" t="n">
        <v>0</v>
      </c>
      <c r="N71" t="n">
        <v>0</v>
      </c>
      <c r="O71" t="n">
        <v>1</v>
      </c>
      <c r="P71" t="n">
        <v>1</v>
      </c>
      <c r="Q71" t="n">
        <v>1</v>
      </c>
      <c r="R71" s="2" t="inlineStr">
        <is>
          <t>Brun glada</t>
        </is>
      </c>
      <c r="S71">
        <f>HYPERLINK("https://klasma.github.io/Logging_0861/artfynd/A 7747-2021 artfynd.xlsx", "A 7747-2021")</f>
        <v/>
      </c>
      <c r="T71">
        <f>HYPERLINK("https://klasma.github.io/Logging_0861/kartor/A 7747-2021 karta.png", "A 7747-2021")</f>
        <v/>
      </c>
      <c r="V71">
        <f>HYPERLINK("https://klasma.github.io/Logging_0861/klagomål/A 7747-2021 FSC-klagomål.docx", "A 7747-2021")</f>
        <v/>
      </c>
      <c r="W71">
        <f>HYPERLINK("https://klasma.github.io/Logging_0861/klagomålsmail/A 7747-2021 FSC-klagomål mail.docx", "A 7747-2021")</f>
        <v/>
      </c>
      <c r="X71">
        <f>HYPERLINK("https://klasma.github.io/Logging_0861/tillsyn/A 7747-2021 tillsynsbegäran.docx", "A 7747-2021")</f>
        <v/>
      </c>
      <c r="Y71">
        <f>HYPERLINK("https://klasma.github.io/Logging_0861/tillsynsmail/A 7747-2021 tillsynsbegäran mail.docx", "A 7747-2021")</f>
        <v/>
      </c>
      <c r="Z71">
        <f>HYPERLINK("https://klasma.github.io/Logging_0861/fåglar/A 7747-2021 prioriterade fågelarter.docx", "A 7747-2021")</f>
        <v/>
      </c>
    </row>
    <row r="72" ht="15" customHeight="1">
      <c r="A72" t="inlineStr">
        <is>
          <t>A 31170-2021</t>
        </is>
      </c>
      <c r="B72" s="1" t="n">
        <v>44368</v>
      </c>
      <c r="C72" s="1" t="n">
        <v>45637</v>
      </c>
      <c r="D72" t="inlineStr">
        <is>
          <t>KALMAR LÄN</t>
        </is>
      </c>
      <c r="E72" t="inlineStr">
        <is>
          <t>MÖNSTERÅS</t>
        </is>
      </c>
      <c r="G72" t="n">
        <v>20.1</v>
      </c>
      <c r="H72" t="n">
        <v>1</v>
      </c>
      <c r="I72" t="n">
        <v>0</v>
      </c>
      <c r="J72" t="n">
        <v>0</v>
      </c>
      <c r="K72" t="n">
        <v>1</v>
      </c>
      <c r="L72" t="n">
        <v>0</v>
      </c>
      <c r="M72" t="n">
        <v>0</v>
      </c>
      <c r="N72" t="n">
        <v>0</v>
      </c>
      <c r="O72" t="n">
        <v>1</v>
      </c>
      <c r="P72" t="n">
        <v>1</v>
      </c>
      <c r="Q72" t="n">
        <v>1</v>
      </c>
      <c r="R72" s="2" t="inlineStr">
        <is>
          <t>Knärot</t>
        </is>
      </c>
      <c r="S72">
        <f>HYPERLINK("https://klasma.github.io/Logging_0861/artfynd/A 31170-2021 artfynd.xlsx", "A 31170-2021")</f>
        <v/>
      </c>
      <c r="T72">
        <f>HYPERLINK("https://klasma.github.io/Logging_0861/kartor/A 31170-2021 karta.png", "A 31170-2021")</f>
        <v/>
      </c>
      <c r="U72">
        <f>HYPERLINK("https://klasma.github.io/Logging_0861/knärot/A 31170-2021 karta knärot.png", "A 31170-2021")</f>
        <v/>
      </c>
      <c r="V72">
        <f>HYPERLINK("https://klasma.github.io/Logging_0861/klagomål/A 31170-2021 FSC-klagomål.docx", "A 31170-2021")</f>
        <v/>
      </c>
      <c r="W72">
        <f>HYPERLINK("https://klasma.github.io/Logging_0861/klagomålsmail/A 31170-2021 FSC-klagomål mail.docx", "A 31170-2021")</f>
        <v/>
      </c>
      <c r="X72">
        <f>HYPERLINK("https://klasma.github.io/Logging_0861/tillsyn/A 31170-2021 tillsynsbegäran.docx", "A 31170-2021")</f>
        <v/>
      </c>
      <c r="Y72">
        <f>HYPERLINK("https://klasma.github.io/Logging_0861/tillsynsmail/A 31170-2021 tillsynsbegäran mail.docx", "A 31170-2021")</f>
        <v/>
      </c>
    </row>
    <row r="73" ht="15" customHeight="1">
      <c r="A73" t="inlineStr">
        <is>
          <t>A 34097-2021</t>
        </is>
      </c>
      <c r="B73" s="1" t="n">
        <v>44379</v>
      </c>
      <c r="C73" s="1" t="n">
        <v>45637</v>
      </c>
      <c r="D73" t="inlineStr">
        <is>
          <t>KALMAR LÄN</t>
        </is>
      </c>
      <c r="E73" t="inlineStr">
        <is>
          <t>MÖNSTERÅS</t>
        </is>
      </c>
      <c r="G73" t="n">
        <v>7.5</v>
      </c>
      <c r="H73" t="n">
        <v>1</v>
      </c>
      <c r="I73" t="n">
        <v>0</v>
      </c>
      <c r="J73" t="n">
        <v>0</v>
      </c>
      <c r="K73" t="n">
        <v>0</v>
      </c>
      <c r="L73" t="n">
        <v>0</v>
      </c>
      <c r="M73" t="n">
        <v>0</v>
      </c>
      <c r="N73" t="n">
        <v>0</v>
      </c>
      <c r="O73" t="n">
        <v>0</v>
      </c>
      <c r="P73" t="n">
        <v>0</v>
      </c>
      <c r="Q73" t="n">
        <v>1</v>
      </c>
      <c r="R73" s="2" t="inlineStr">
        <is>
          <t>Nattviol</t>
        </is>
      </c>
      <c r="S73">
        <f>HYPERLINK("https://klasma.github.io/Logging_0861/artfynd/A 34097-2021 artfynd.xlsx", "A 34097-2021")</f>
        <v/>
      </c>
      <c r="T73">
        <f>HYPERLINK("https://klasma.github.io/Logging_0861/kartor/A 34097-2021 karta.png", "A 34097-2021")</f>
        <v/>
      </c>
      <c r="V73">
        <f>HYPERLINK("https://klasma.github.io/Logging_0861/klagomål/A 34097-2021 FSC-klagomål.docx", "A 34097-2021")</f>
        <v/>
      </c>
      <c r="W73">
        <f>HYPERLINK("https://klasma.github.io/Logging_0861/klagomålsmail/A 34097-2021 FSC-klagomål mail.docx", "A 34097-2021")</f>
        <v/>
      </c>
      <c r="X73">
        <f>HYPERLINK("https://klasma.github.io/Logging_0861/tillsyn/A 34097-2021 tillsynsbegäran.docx", "A 34097-2021")</f>
        <v/>
      </c>
      <c r="Y73">
        <f>HYPERLINK("https://klasma.github.io/Logging_0861/tillsynsmail/A 34097-2021 tillsynsbegäran mail.docx", "A 34097-2021")</f>
        <v/>
      </c>
    </row>
    <row r="74" ht="15" customHeight="1">
      <c r="A74" t="inlineStr">
        <is>
          <t>A 41263-2021</t>
        </is>
      </c>
      <c r="B74" s="1" t="n">
        <v>44424</v>
      </c>
      <c r="C74" s="1" t="n">
        <v>45637</v>
      </c>
      <c r="D74" t="inlineStr">
        <is>
          <t>KALMAR LÄN</t>
        </is>
      </c>
      <c r="E74" t="inlineStr">
        <is>
          <t>MÖNSTERÅS</t>
        </is>
      </c>
      <c r="G74" t="n">
        <v>4.1</v>
      </c>
      <c r="H74" t="n">
        <v>0</v>
      </c>
      <c r="I74" t="n">
        <v>0</v>
      </c>
      <c r="J74" t="n">
        <v>1</v>
      </c>
      <c r="K74" t="n">
        <v>0</v>
      </c>
      <c r="L74" t="n">
        <v>0</v>
      </c>
      <c r="M74" t="n">
        <v>0</v>
      </c>
      <c r="N74" t="n">
        <v>0</v>
      </c>
      <c r="O74" t="n">
        <v>1</v>
      </c>
      <c r="P74" t="n">
        <v>0</v>
      </c>
      <c r="Q74" t="n">
        <v>1</v>
      </c>
      <c r="R74" s="2" t="inlineStr">
        <is>
          <t>Leptoporus erubescens</t>
        </is>
      </c>
      <c r="S74">
        <f>HYPERLINK("https://klasma.github.io/Logging_0861/artfynd/A 41263-2021 artfynd.xlsx", "A 41263-2021")</f>
        <v/>
      </c>
      <c r="T74">
        <f>HYPERLINK("https://klasma.github.io/Logging_0861/kartor/A 41263-2021 karta.png", "A 41263-2021")</f>
        <v/>
      </c>
      <c r="V74">
        <f>HYPERLINK("https://klasma.github.io/Logging_0861/klagomål/A 41263-2021 FSC-klagomål.docx", "A 41263-2021")</f>
        <v/>
      </c>
      <c r="W74">
        <f>HYPERLINK("https://klasma.github.io/Logging_0861/klagomålsmail/A 41263-2021 FSC-klagomål mail.docx", "A 41263-2021")</f>
        <v/>
      </c>
      <c r="X74">
        <f>HYPERLINK("https://klasma.github.io/Logging_0861/tillsyn/A 41263-2021 tillsynsbegäran.docx", "A 41263-2021")</f>
        <v/>
      </c>
      <c r="Y74">
        <f>HYPERLINK("https://klasma.github.io/Logging_0861/tillsynsmail/A 41263-2021 tillsynsbegäran mail.docx", "A 41263-2021")</f>
        <v/>
      </c>
    </row>
    <row r="75" ht="15" customHeight="1">
      <c r="A75" t="inlineStr">
        <is>
          <t>A 45178-2021</t>
        </is>
      </c>
      <c r="B75" s="1" t="n">
        <v>44439</v>
      </c>
      <c r="C75" s="1" t="n">
        <v>45637</v>
      </c>
      <c r="D75" t="inlineStr">
        <is>
          <t>KALMAR LÄN</t>
        </is>
      </c>
      <c r="E75" t="inlineStr">
        <is>
          <t>MÖNSTERÅS</t>
        </is>
      </c>
      <c r="G75" t="n">
        <v>8.9</v>
      </c>
      <c r="H75" t="n">
        <v>1</v>
      </c>
      <c r="I75" t="n">
        <v>0</v>
      </c>
      <c r="J75" t="n">
        <v>0</v>
      </c>
      <c r="K75" t="n">
        <v>1</v>
      </c>
      <c r="L75" t="n">
        <v>0</v>
      </c>
      <c r="M75" t="n">
        <v>0</v>
      </c>
      <c r="N75" t="n">
        <v>0</v>
      </c>
      <c r="O75" t="n">
        <v>1</v>
      </c>
      <c r="P75" t="n">
        <v>1</v>
      </c>
      <c r="Q75" t="n">
        <v>1</v>
      </c>
      <c r="R75" s="2" t="inlineStr">
        <is>
          <t>Knärot</t>
        </is>
      </c>
      <c r="S75">
        <f>HYPERLINK("https://klasma.github.io/Logging_0861/artfynd/A 45178-2021 artfynd.xlsx", "A 45178-2021")</f>
        <v/>
      </c>
      <c r="T75">
        <f>HYPERLINK("https://klasma.github.io/Logging_0861/kartor/A 45178-2021 karta.png", "A 45178-2021")</f>
        <v/>
      </c>
      <c r="U75">
        <f>HYPERLINK("https://klasma.github.io/Logging_0861/knärot/A 45178-2021 karta knärot.png", "A 45178-2021")</f>
        <v/>
      </c>
      <c r="V75">
        <f>HYPERLINK("https://klasma.github.io/Logging_0861/klagomål/A 45178-2021 FSC-klagomål.docx", "A 45178-2021")</f>
        <v/>
      </c>
      <c r="W75">
        <f>HYPERLINK("https://klasma.github.io/Logging_0861/klagomålsmail/A 45178-2021 FSC-klagomål mail.docx", "A 45178-2021")</f>
        <v/>
      </c>
      <c r="X75">
        <f>HYPERLINK("https://klasma.github.io/Logging_0861/tillsyn/A 45178-2021 tillsynsbegäran.docx", "A 45178-2021")</f>
        <v/>
      </c>
      <c r="Y75">
        <f>HYPERLINK("https://klasma.github.io/Logging_0861/tillsynsmail/A 45178-2021 tillsynsbegäran mail.docx", "A 45178-2021")</f>
        <v/>
      </c>
    </row>
    <row r="76" ht="15" customHeight="1">
      <c r="A76" t="inlineStr">
        <is>
          <t>A 34081-2022</t>
        </is>
      </c>
      <c r="B76" s="1" t="n">
        <v>44791</v>
      </c>
      <c r="C76" s="1" t="n">
        <v>45637</v>
      </c>
      <c r="D76" t="inlineStr">
        <is>
          <t>KALMAR LÄN</t>
        </is>
      </c>
      <c r="E76" t="inlineStr">
        <is>
          <t>MÖNSTERÅS</t>
        </is>
      </c>
      <c r="G76" t="n">
        <v>1.9</v>
      </c>
      <c r="H76" t="n">
        <v>1</v>
      </c>
      <c r="I76" t="n">
        <v>0</v>
      </c>
      <c r="J76" t="n">
        <v>0</v>
      </c>
      <c r="K76" t="n">
        <v>1</v>
      </c>
      <c r="L76" t="n">
        <v>0</v>
      </c>
      <c r="M76" t="n">
        <v>0</v>
      </c>
      <c r="N76" t="n">
        <v>0</v>
      </c>
      <c r="O76" t="n">
        <v>1</v>
      </c>
      <c r="P76" t="n">
        <v>1</v>
      </c>
      <c r="Q76" t="n">
        <v>1</v>
      </c>
      <c r="R76" s="2" t="inlineStr">
        <is>
          <t>Knärot</t>
        </is>
      </c>
      <c r="S76">
        <f>HYPERLINK("https://klasma.github.io/Logging_0861/artfynd/A 34081-2022 artfynd.xlsx", "A 34081-2022")</f>
        <v/>
      </c>
      <c r="T76">
        <f>HYPERLINK("https://klasma.github.io/Logging_0861/kartor/A 34081-2022 karta.png", "A 34081-2022")</f>
        <v/>
      </c>
      <c r="U76">
        <f>HYPERLINK("https://klasma.github.io/Logging_0861/knärot/A 34081-2022 karta knärot.png", "A 34081-2022")</f>
        <v/>
      </c>
      <c r="V76">
        <f>HYPERLINK("https://klasma.github.io/Logging_0861/klagomål/A 34081-2022 FSC-klagomål.docx", "A 34081-2022")</f>
        <v/>
      </c>
      <c r="W76">
        <f>HYPERLINK("https://klasma.github.io/Logging_0861/klagomålsmail/A 34081-2022 FSC-klagomål mail.docx", "A 34081-2022")</f>
        <v/>
      </c>
      <c r="X76">
        <f>HYPERLINK("https://klasma.github.io/Logging_0861/tillsyn/A 34081-2022 tillsynsbegäran.docx", "A 34081-2022")</f>
        <v/>
      </c>
      <c r="Y76">
        <f>HYPERLINK("https://klasma.github.io/Logging_0861/tillsynsmail/A 34081-2022 tillsynsbegäran mail.docx", "A 34081-2022")</f>
        <v/>
      </c>
    </row>
    <row r="77" ht="15" customHeight="1">
      <c r="A77" t="inlineStr">
        <is>
          <t>A 39199-2022</t>
        </is>
      </c>
      <c r="B77" s="1" t="n">
        <v>44817</v>
      </c>
      <c r="C77" s="1" t="n">
        <v>45637</v>
      </c>
      <c r="D77" t="inlineStr">
        <is>
          <t>KALMAR LÄN</t>
        </is>
      </c>
      <c r="E77" t="inlineStr">
        <is>
          <t>MÖNSTERÅS</t>
        </is>
      </c>
      <c r="G77" t="n">
        <v>5.2</v>
      </c>
      <c r="H77" t="n">
        <v>0</v>
      </c>
      <c r="I77" t="n">
        <v>0</v>
      </c>
      <c r="J77" t="n">
        <v>0</v>
      </c>
      <c r="K77" t="n">
        <v>0</v>
      </c>
      <c r="L77" t="n">
        <v>1</v>
      </c>
      <c r="M77" t="n">
        <v>0</v>
      </c>
      <c r="N77" t="n">
        <v>0</v>
      </c>
      <c r="O77" t="n">
        <v>1</v>
      </c>
      <c r="P77" t="n">
        <v>1</v>
      </c>
      <c r="Q77" t="n">
        <v>1</v>
      </c>
      <c r="R77" s="2" t="inlineStr">
        <is>
          <t>Ask</t>
        </is>
      </c>
      <c r="S77">
        <f>HYPERLINK("https://klasma.github.io/Logging_0861/artfynd/A 39199-2022 artfynd.xlsx", "A 39199-2022")</f>
        <v/>
      </c>
      <c r="T77">
        <f>HYPERLINK("https://klasma.github.io/Logging_0861/kartor/A 39199-2022 karta.png", "A 39199-2022")</f>
        <v/>
      </c>
      <c r="V77">
        <f>HYPERLINK("https://klasma.github.io/Logging_0861/klagomål/A 39199-2022 FSC-klagomål.docx", "A 39199-2022")</f>
        <v/>
      </c>
      <c r="W77">
        <f>HYPERLINK("https://klasma.github.io/Logging_0861/klagomålsmail/A 39199-2022 FSC-klagomål mail.docx", "A 39199-2022")</f>
        <v/>
      </c>
      <c r="X77">
        <f>HYPERLINK("https://klasma.github.io/Logging_0861/tillsyn/A 39199-2022 tillsynsbegäran.docx", "A 39199-2022")</f>
        <v/>
      </c>
      <c r="Y77">
        <f>HYPERLINK("https://klasma.github.io/Logging_0861/tillsynsmail/A 39199-2022 tillsynsbegäran mail.docx", "A 39199-2022")</f>
        <v/>
      </c>
    </row>
    <row r="78" ht="15" customHeight="1">
      <c r="A78" t="inlineStr">
        <is>
          <t>A 41879-2022</t>
        </is>
      </c>
      <c r="B78" s="1" t="n">
        <v>44827</v>
      </c>
      <c r="C78" s="1" t="n">
        <v>45637</v>
      </c>
      <c r="D78" t="inlineStr">
        <is>
          <t>KALMAR LÄN</t>
        </is>
      </c>
      <c r="E78" t="inlineStr">
        <is>
          <t>MÖNSTERÅS</t>
        </is>
      </c>
      <c r="F78" t="inlineStr">
        <is>
          <t>Kyrkan</t>
        </is>
      </c>
      <c r="G78" t="n">
        <v>1</v>
      </c>
      <c r="H78" t="n">
        <v>0</v>
      </c>
      <c r="I78" t="n">
        <v>0</v>
      </c>
      <c r="J78" t="n">
        <v>1</v>
      </c>
      <c r="K78" t="n">
        <v>0</v>
      </c>
      <c r="L78" t="n">
        <v>0</v>
      </c>
      <c r="M78" t="n">
        <v>0</v>
      </c>
      <c r="N78" t="n">
        <v>0</v>
      </c>
      <c r="O78" t="n">
        <v>1</v>
      </c>
      <c r="P78" t="n">
        <v>0</v>
      </c>
      <c r="Q78" t="n">
        <v>1</v>
      </c>
      <c r="R78" s="2" t="inlineStr">
        <is>
          <t>Brunag</t>
        </is>
      </c>
      <c r="S78">
        <f>HYPERLINK("https://klasma.github.io/Logging_0861/artfynd/A 41879-2022 artfynd.xlsx", "A 41879-2022")</f>
        <v/>
      </c>
      <c r="T78">
        <f>HYPERLINK("https://klasma.github.io/Logging_0861/kartor/A 41879-2022 karta.png", "A 41879-2022")</f>
        <v/>
      </c>
      <c r="V78">
        <f>HYPERLINK("https://klasma.github.io/Logging_0861/klagomål/A 41879-2022 FSC-klagomål.docx", "A 41879-2022")</f>
        <v/>
      </c>
      <c r="W78">
        <f>HYPERLINK("https://klasma.github.io/Logging_0861/klagomålsmail/A 41879-2022 FSC-klagomål mail.docx", "A 41879-2022")</f>
        <v/>
      </c>
      <c r="X78">
        <f>HYPERLINK("https://klasma.github.io/Logging_0861/tillsyn/A 41879-2022 tillsynsbegäran.docx", "A 41879-2022")</f>
        <v/>
      </c>
      <c r="Y78">
        <f>HYPERLINK("https://klasma.github.io/Logging_0861/tillsynsmail/A 41879-2022 tillsynsbegäran mail.docx", "A 41879-2022")</f>
        <v/>
      </c>
    </row>
    <row r="79" ht="15" customHeight="1">
      <c r="A79" t="inlineStr">
        <is>
          <t>A 47672-2022</t>
        </is>
      </c>
      <c r="B79" s="1" t="n">
        <v>44854</v>
      </c>
      <c r="C79" s="1" t="n">
        <v>45637</v>
      </c>
      <c r="D79" t="inlineStr">
        <is>
          <t>KALMAR LÄN</t>
        </is>
      </c>
      <c r="E79" t="inlineStr">
        <is>
          <t>MÖNSTERÅS</t>
        </is>
      </c>
      <c r="G79" t="n">
        <v>4.6</v>
      </c>
      <c r="H79" t="n">
        <v>1</v>
      </c>
      <c r="I79" t="n">
        <v>0</v>
      </c>
      <c r="J79" t="n">
        <v>0</v>
      </c>
      <c r="K79" t="n">
        <v>1</v>
      </c>
      <c r="L79" t="n">
        <v>0</v>
      </c>
      <c r="M79" t="n">
        <v>0</v>
      </c>
      <c r="N79" t="n">
        <v>0</v>
      </c>
      <c r="O79" t="n">
        <v>1</v>
      </c>
      <c r="P79" t="n">
        <v>1</v>
      </c>
      <c r="Q79" t="n">
        <v>1</v>
      </c>
      <c r="R79" s="2" t="inlineStr">
        <is>
          <t>Knärot</t>
        </is>
      </c>
      <c r="S79">
        <f>HYPERLINK("https://klasma.github.io/Logging_0861/artfynd/A 47672-2022 artfynd.xlsx", "A 47672-2022")</f>
        <v/>
      </c>
      <c r="T79">
        <f>HYPERLINK("https://klasma.github.io/Logging_0861/kartor/A 47672-2022 karta.png", "A 47672-2022")</f>
        <v/>
      </c>
      <c r="U79">
        <f>HYPERLINK("https://klasma.github.io/Logging_0861/knärot/A 47672-2022 karta knärot.png", "A 47672-2022")</f>
        <v/>
      </c>
      <c r="V79">
        <f>HYPERLINK("https://klasma.github.io/Logging_0861/klagomål/A 47672-2022 FSC-klagomål.docx", "A 47672-2022")</f>
        <v/>
      </c>
      <c r="W79">
        <f>HYPERLINK("https://klasma.github.io/Logging_0861/klagomålsmail/A 47672-2022 FSC-klagomål mail.docx", "A 47672-2022")</f>
        <v/>
      </c>
      <c r="X79">
        <f>HYPERLINK("https://klasma.github.io/Logging_0861/tillsyn/A 47672-2022 tillsynsbegäran.docx", "A 47672-2022")</f>
        <v/>
      </c>
      <c r="Y79">
        <f>HYPERLINK("https://klasma.github.io/Logging_0861/tillsynsmail/A 47672-2022 tillsynsbegäran mail.docx", "A 47672-2022")</f>
        <v/>
      </c>
    </row>
    <row r="80" ht="15" customHeight="1">
      <c r="A80" t="inlineStr">
        <is>
          <t>A 53173-2022</t>
        </is>
      </c>
      <c r="B80" s="1" t="n">
        <v>44876</v>
      </c>
      <c r="C80" s="1" t="n">
        <v>45637</v>
      </c>
      <c r="D80" t="inlineStr">
        <is>
          <t>KALMAR LÄN</t>
        </is>
      </c>
      <c r="E80" t="inlineStr">
        <is>
          <t>MÖNSTERÅS</t>
        </is>
      </c>
      <c r="G80" t="n">
        <v>1.4</v>
      </c>
      <c r="H80" t="n">
        <v>1</v>
      </c>
      <c r="I80" t="n">
        <v>0</v>
      </c>
      <c r="J80" t="n">
        <v>1</v>
      </c>
      <c r="K80" t="n">
        <v>0</v>
      </c>
      <c r="L80" t="n">
        <v>0</v>
      </c>
      <c r="M80" t="n">
        <v>0</v>
      </c>
      <c r="N80" t="n">
        <v>0</v>
      </c>
      <c r="O80" t="n">
        <v>1</v>
      </c>
      <c r="P80" t="n">
        <v>0</v>
      </c>
      <c r="Q80" t="n">
        <v>1</v>
      </c>
      <c r="R80" s="2" t="inlineStr">
        <is>
          <t>Havsörn</t>
        </is>
      </c>
      <c r="S80">
        <f>HYPERLINK("https://klasma.github.io/Logging_0861/artfynd/A 53173-2022 artfynd.xlsx", "A 53173-2022")</f>
        <v/>
      </c>
      <c r="T80">
        <f>HYPERLINK("https://klasma.github.io/Logging_0861/kartor/A 53173-2022 karta.png", "A 53173-2022")</f>
        <v/>
      </c>
      <c r="V80">
        <f>HYPERLINK("https://klasma.github.io/Logging_0861/klagomål/A 53173-2022 FSC-klagomål.docx", "A 53173-2022")</f>
        <v/>
      </c>
      <c r="W80">
        <f>HYPERLINK("https://klasma.github.io/Logging_0861/klagomålsmail/A 53173-2022 FSC-klagomål mail.docx", "A 53173-2022")</f>
        <v/>
      </c>
      <c r="X80">
        <f>HYPERLINK("https://klasma.github.io/Logging_0861/tillsyn/A 53173-2022 tillsynsbegäran.docx", "A 53173-2022")</f>
        <v/>
      </c>
      <c r="Y80">
        <f>HYPERLINK("https://klasma.github.io/Logging_0861/tillsynsmail/A 53173-2022 tillsynsbegäran mail.docx", "A 53173-2022")</f>
        <v/>
      </c>
      <c r="Z80">
        <f>HYPERLINK("https://klasma.github.io/Logging_0861/fåglar/A 53173-2022 prioriterade fågelarter.docx", "A 53173-2022")</f>
        <v/>
      </c>
    </row>
    <row r="81" ht="15" customHeight="1">
      <c r="A81" t="inlineStr">
        <is>
          <t>A 54924-2022</t>
        </is>
      </c>
      <c r="B81" s="1" t="n">
        <v>44886</v>
      </c>
      <c r="C81" s="1" t="n">
        <v>45637</v>
      </c>
      <c r="D81" t="inlineStr">
        <is>
          <t>KALMAR LÄN</t>
        </is>
      </c>
      <c r="E81" t="inlineStr">
        <is>
          <t>MÖNSTERÅS</t>
        </is>
      </c>
      <c r="G81" t="n">
        <v>5</v>
      </c>
      <c r="H81" t="n">
        <v>1</v>
      </c>
      <c r="I81" t="n">
        <v>0</v>
      </c>
      <c r="J81" t="n">
        <v>0</v>
      </c>
      <c r="K81" t="n">
        <v>1</v>
      </c>
      <c r="L81" t="n">
        <v>0</v>
      </c>
      <c r="M81" t="n">
        <v>0</v>
      </c>
      <c r="N81" t="n">
        <v>0</v>
      </c>
      <c r="O81" t="n">
        <v>1</v>
      </c>
      <c r="P81" t="n">
        <v>1</v>
      </c>
      <c r="Q81" t="n">
        <v>1</v>
      </c>
      <c r="R81" s="2" t="inlineStr">
        <is>
          <t>Knärot</t>
        </is>
      </c>
      <c r="S81">
        <f>HYPERLINK("https://klasma.github.io/Logging_0861/artfynd/A 54924-2022 artfynd.xlsx", "A 54924-2022")</f>
        <v/>
      </c>
      <c r="T81">
        <f>HYPERLINK("https://klasma.github.io/Logging_0861/kartor/A 54924-2022 karta.png", "A 54924-2022")</f>
        <v/>
      </c>
      <c r="U81">
        <f>HYPERLINK("https://klasma.github.io/Logging_0861/knärot/A 54924-2022 karta knärot.png", "A 54924-2022")</f>
        <v/>
      </c>
      <c r="V81">
        <f>HYPERLINK("https://klasma.github.io/Logging_0861/klagomål/A 54924-2022 FSC-klagomål.docx", "A 54924-2022")</f>
        <v/>
      </c>
      <c r="W81">
        <f>HYPERLINK("https://klasma.github.io/Logging_0861/klagomålsmail/A 54924-2022 FSC-klagomål mail.docx", "A 54924-2022")</f>
        <v/>
      </c>
      <c r="X81">
        <f>HYPERLINK("https://klasma.github.io/Logging_0861/tillsyn/A 54924-2022 tillsynsbegäran.docx", "A 54924-2022")</f>
        <v/>
      </c>
      <c r="Y81">
        <f>HYPERLINK("https://klasma.github.io/Logging_0861/tillsynsmail/A 54924-2022 tillsynsbegäran mail.docx", "A 54924-2022")</f>
        <v/>
      </c>
    </row>
    <row r="82" ht="15" customHeight="1">
      <c r="A82" t="inlineStr">
        <is>
          <t>A 4371-2023</t>
        </is>
      </c>
      <c r="B82" s="1" t="n">
        <v>44955</v>
      </c>
      <c r="C82" s="1" t="n">
        <v>45637</v>
      </c>
      <c r="D82" t="inlineStr">
        <is>
          <t>KALMAR LÄN</t>
        </is>
      </c>
      <c r="E82" t="inlineStr">
        <is>
          <t>MÖNSTERÅS</t>
        </is>
      </c>
      <c r="G82" t="n">
        <v>2.3</v>
      </c>
      <c r="H82" t="n">
        <v>0</v>
      </c>
      <c r="I82" t="n">
        <v>0</v>
      </c>
      <c r="J82" t="n">
        <v>1</v>
      </c>
      <c r="K82" t="n">
        <v>0</v>
      </c>
      <c r="L82" t="n">
        <v>0</v>
      </c>
      <c r="M82" t="n">
        <v>0</v>
      </c>
      <c r="N82" t="n">
        <v>0</v>
      </c>
      <c r="O82" t="n">
        <v>1</v>
      </c>
      <c r="P82" t="n">
        <v>0</v>
      </c>
      <c r="Q82" t="n">
        <v>1</v>
      </c>
      <c r="R82" s="2" t="inlineStr">
        <is>
          <t>Svinrot</t>
        </is>
      </c>
      <c r="S82">
        <f>HYPERLINK("https://klasma.github.io/Logging_0861/artfynd/A 4371-2023 artfynd.xlsx", "A 4371-2023")</f>
        <v/>
      </c>
      <c r="T82">
        <f>HYPERLINK("https://klasma.github.io/Logging_0861/kartor/A 4371-2023 karta.png", "A 4371-2023")</f>
        <v/>
      </c>
      <c r="V82">
        <f>HYPERLINK("https://klasma.github.io/Logging_0861/klagomål/A 4371-2023 FSC-klagomål.docx", "A 4371-2023")</f>
        <v/>
      </c>
      <c r="W82">
        <f>HYPERLINK("https://klasma.github.io/Logging_0861/klagomålsmail/A 4371-2023 FSC-klagomål mail.docx", "A 4371-2023")</f>
        <v/>
      </c>
      <c r="X82">
        <f>HYPERLINK("https://klasma.github.io/Logging_0861/tillsyn/A 4371-2023 tillsynsbegäran.docx", "A 4371-2023")</f>
        <v/>
      </c>
      <c r="Y82">
        <f>HYPERLINK("https://klasma.github.io/Logging_0861/tillsynsmail/A 4371-2023 tillsynsbegäran mail.docx", "A 4371-2023")</f>
        <v/>
      </c>
    </row>
    <row r="83" ht="15" customHeight="1">
      <c r="A83" t="inlineStr">
        <is>
          <t>A 8886-2023</t>
        </is>
      </c>
      <c r="B83" s="1" t="n">
        <v>44979</v>
      </c>
      <c r="C83" s="1" t="n">
        <v>45637</v>
      </c>
      <c r="D83" t="inlineStr">
        <is>
          <t>KALMAR LÄN</t>
        </is>
      </c>
      <c r="E83" t="inlineStr">
        <is>
          <t>MÖNSTERÅS</t>
        </is>
      </c>
      <c r="G83" t="n">
        <v>3.4</v>
      </c>
      <c r="H83" t="n">
        <v>1</v>
      </c>
      <c r="I83" t="n">
        <v>0</v>
      </c>
      <c r="J83" t="n">
        <v>0</v>
      </c>
      <c r="K83" t="n">
        <v>1</v>
      </c>
      <c r="L83" t="n">
        <v>0</v>
      </c>
      <c r="M83" t="n">
        <v>0</v>
      </c>
      <c r="N83" t="n">
        <v>0</v>
      </c>
      <c r="O83" t="n">
        <v>1</v>
      </c>
      <c r="P83" t="n">
        <v>1</v>
      </c>
      <c r="Q83" t="n">
        <v>1</v>
      </c>
      <c r="R83" s="2" t="inlineStr">
        <is>
          <t>Knärot</t>
        </is>
      </c>
      <c r="S83">
        <f>HYPERLINK("https://klasma.github.io/Logging_0861/artfynd/A 8886-2023 artfynd.xlsx", "A 8886-2023")</f>
        <v/>
      </c>
      <c r="T83">
        <f>HYPERLINK("https://klasma.github.io/Logging_0861/kartor/A 8886-2023 karta.png", "A 8886-2023")</f>
        <v/>
      </c>
      <c r="U83">
        <f>HYPERLINK("https://klasma.github.io/Logging_0861/knärot/A 8886-2023 karta knärot.png", "A 8886-2023")</f>
        <v/>
      </c>
      <c r="V83">
        <f>HYPERLINK("https://klasma.github.io/Logging_0861/klagomål/A 8886-2023 FSC-klagomål.docx", "A 8886-2023")</f>
        <v/>
      </c>
      <c r="W83">
        <f>HYPERLINK("https://klasma.github.io/Logging_0861/klagomålsmail/A 8886-2023 FSC-klagomål mail.docx", "A 8886-2023")</f>
        <v/>
      </c>
      <c r="X83">
        <f>HYPERLINK("https://klasma.github.io/Logging_0861/tillsyn/A 8886-2023 tillsynsbegäran.docx", "A 8886-2023")</f>
        <v/>
      </c>
      <c r="Y83">
        <f>HYPERLINK("https://klasma.github.io/Logging_0861/tillsynsmail/A 8886-2023 tillsynsbegäran mail.docx", "A 8886-2023")</f>
        <v/>
      </c>
    </row>
    <row r="84" ht="15" customHeight="1">
      <c r="A84" t="inlineStr">
        <is>
          <t>A 25231-2023</t>
        </is>
      </c>
      <c r="B84" s="1" t="n">
        <v>45086</v>
      </c>
      <c r="C84" s="1" t="n">
        <v>45637</v>
      </c>
      <c r="D84" t="inlineStr">
        <is>
          <t>KALMAR LÄN</t>
        </is>
      </c>
      <c r="E84" t="inlineStr">
        <is>
          <t>MÖNSTERÅS</t>
        </is>
      </c>
      <c r="G84" t="n">
        <v>6.4</v>
      </c>
      <c r="H84" t="n">
        <v>1</v>
      </c>
      <c r="I84" t="n">
        <v>0</v>
      </c>
      <c r="J84" t="n">
        <v>0</v>
      </c>
      <c r="K84" t="n">
        <v>0</v>
      </c>
      <c r="L84" t="n">
        <v>0</v>
      </c>
      <c r="M84" t="n">
        <v>0</v>
      </c>
      <c r="N84" t="n">
        <v>0</v>
      </c>
      <c r="O84" t="n">
        <v>0</v>
      </c>
      <c r="P84" t="n">
        <v>0</v>
      </c>
      <c r="Q84" t="n">
        <v>1</v>
      </c>
      <c r="R84" s="2" t="inlineStr">
        <is>
          <t>Hasselmus</t>
        </is>
      </c>
      <c r="S84">
        <f>HYPERLINK("https://klasma.github.io/Logging_0861/artfynd/A 25231-2023 artfynd.xlsx", "A 25231-2023")</f>
        <v/>
      </c>
      <c r="T84">
        <f>HYPERLINK("https://klasma.github.io/Logging_0861/kartor/A 25231-2023 karta.png", "A 25231-2023")</f>
        <v/>
      </c>
      <c r="V84">
        <f>HYPERLINK("https://klasma.github.io/Logging_0861/klagomål/A 25231-2023 FSC-klagomål.docx", "A 25231-2023")</f>
        <v/>
      </c>
      <c r="W84">
        <f>HYPERLINK("https://klasma.github.io/Logging_0861/klagomålsmail/A 25231-2023 FSC-klagomål mail.docx", "A 25231-2023")</f>
        <v/>
      </c>
      <c r="X84">
        <f>HYPERLINK("https://klasma.github.io/Logging_0861/tillsyn/A 25231-2023 tillsynsbegäran.docx", "A 25231-2023")</f>
        <v/>
      </c>
      <c r="Y84">
        <f>HYPERLINK("https://klasma.github.io/Logging_0861/tillsynsmail/A 25231-2023 tillsynsbegäran mail.docx", "A 25231-2023")</f>
        <v/>
      </c>
    </row>
    <row r="85" ht="15" customHeight="1">
      <c r="A85" t="inlineStr">
        <is>
          <t>A 25218-2023</t>
        </is>
      </c>
      <c r="B85" s="1" t="n">
        <v>45086</v>
      </c>
      <c r="C85" s="1" t="n">
        <v>45637</v>
      </c>
      <c r="D85" t="inlineStr">
        <is>
          <t>KALMAR LÄN</t>
        </is>
      </c>
      <c r="E85" t="inlineStr">
        <is>
          <t>MÖNSTERÅS</t>
        </is>
      </c>
      <c r="G85" t="n">
        <v>1.5</v>
      </c>
      <c r="H85" t="n">
        <v>1</v>
      </c>
      <c r="I85" t="n">
        <v>0</v>
      </c>
      <c r="J85" t="n">
        <v>0</v>
      </c>
      <c r="K85" t="n">
        <v>0</v>
      </c>
      <c r="L85" t="n">
        <v>0</v>
      </c>
      <c r="M85" t="n">
        <v>0</v>
      </c>
      <c r="N85" t="n">
        <v>0</v>
      </c>
      <c r="O85" t="n">
        <v>0</v>
      </c>
      <c r="P85" t="n">
        <v>0</v>
      </c>
      <c r="Q85" t="n">
        <v>1</v>
      </c>
      <c r="R85" s="2" t="inlineStr">
        <is>
          <t>Hasselmus</t>
        </is>
      </c>
      <c r="S85">
        <f>HYPERLINK("https://klasma.github.io/Logging_0861/artfynd/A 25218-2023 artfynd.xlsx", "A 25218-2023")</f>
        <v/>
      </c>
      <c r="T85">
        <f>HYPERLINK("https://klasma.github.io/Logging_0861/kartor/A 25218-2023 karta.png", "A 25218-2023")</f>
        <v/>
      </c>
      <c r="V85">
        <f>HYPERLINK("https://klasma.github.io/Logging_0861/klagomål/A 25218-2023 FSC-klagomål.docx", "A 25218-2023")</f>
        <v/>
      </c>
      <c r="W85">
        <f>HYPERLINK("https://klasma.github.io/Logging_0861/klagomålsmail/A 25218-2023 FSC-klagomål mail.docx", "A 25218-2023")</f>
        <v/>
      </c>
      <c r="X85">
        <f>HYPERLINK("https://klasma.github.io/Logging_0861/tillsyn/A 25218-2023 tillsynsbegäran.docx", "A 25218-2023")</f>
        <v/>
      </c>
      <c r="Y85">
        <f>HYPERLINK("https://klasma.github.io/Logging_0861/tillsynsmail/A 25218-2023 tillsynsbegäran mail.docx", "A 25218-2023")</f>
        <v/>
      </c>
    </row>
    <row r="86" ht="15" customHeight="1">
      <c r="A86" t="inlineStr">
        <is>
          <t>A 26274-2023</t>
        </is>
      </c>
      <c r="B86" s="1" t="n">
        <v>45091</v>
      </c>
      <c r="C86" s="1" t="n">
        <v>45637</v>
      </c>
      <c r="D86" t="inlineStr">
        <is>
          <t>KALMAR LÄN</t>
        </is>
      </c>
      <c r="E86" t="inlineStr">
        <is>
          <t>MÖNSTERÅS</t>
        </is>
      </c>
      <c r="G86" t="n">
        <v>2.1</v>
      </c>
      <c r="H86" t="n">
        <v>1</v>
      </c>
      <c r="I86" t="n">
        <v>0</v>
      </c>
      <c r="J86" t="n">
        <v>1</v>
      </c>
      <c r="K86" t="n">
        <v>0</v>
      </c>
      <c r="L86" t="n">
        <v>0</v>
      </c>
      <c r="M86" t="n">
        <v>0</v>
      </c>
      <c r="N86" t="n">
        <v>0</v>
      </c>
      <c r="O86" t="n">
        <v>1</v>
      </c>
      <c r="P86" t="n">
        <v>0</v>
      </c>
      <c r="Q86" t="n">
        <v>1</v>
      </c>
      <c r="R86" s="2" t="inlineStr">
        <is>
          <t>Havsörn</t>
        </is>
      </c>
      <c r="S86">
        <f>HYPERLINK("https://klasma.github.io/Logging_0861/artfynd/A 26274-2023 artfynd.xlsx", "A 26274-2023")</f>
        <v/>
      </c>
      <c r="T86">
        <f>HYPERLINK("https://klasma.github.io/Logging_0861/kartor/A 26274-2023 karta.png", "A 26274-2023")</f>
        <v/>
      </c>
      <c r="V86">
        <f>HYPERLINK("https://klasma.github.io/Logging_0861/klagomål/A 26274-2023 FSC-klagomål.docx", "A 26274-2023")</f>
        <v/>
      </c>
      <c r="W86">
        <f>HYPERLINK("https://klasma.github.io/Logging_0861/klagomålsmail/A 26274-2023 FSC-klagomål mail.docx", "A 26274-2023")</f>
        <v/>
      </c>
      <c r="X86">
        <f>HYPERLINK("https://klasma.github.io/Logging_0861/tillsyn/A 26274-2023 tillsynsbegäran.docx", "A 26274-2023")</f>
        <v/>
      </c>
      <c r="Y86">
        <f>HYPERLINK("https://klasma.github.io/Logging_0861/tillsynsmail/A 26274-2023 tillsynsbegäran mail.docx", "A 26274-2023")</f>
        <v/>
      </c>
      <c r="Z86">
        <f>HYPERLINK("https://klasma.github.io/Logging_0861/fåglar/A 26274-2023 prioriterade fågelarter.docx", "A 26274-2023")</f>
        <v/>
      </c>
    </row>
    <row r="87" ht="15" customHeight="1">
      <c r="A87" t="inlineStr">
        <is>
          <t>A 27546-2023</t>
        </is>
      </c>
      <c r="B87" s="1" t="n">
        <v>45097</v>
      </c>
      <c r="C87" s="1" t="n">
        <v>45637</v>
      </c>
      <c r="D87" t="inlineStr">
        <is>
          <t>KALMAR LÄN</t>
        </is>
      </c>
      <c r="E87" t="inlineStr">
        <is>
          <t>MÖNSTERÅS</t>
        </is>
      </c>
      <c r="G87" t="n">
        <v>1.1</v>
      </c>
      <c r="H87" t="n">
        <v>0</v>
      </c>
      <c r="I87" t="n">
        <v>1</v>
      </c>
      <c r="J87" t="n">
        <v>0</v>
      </c>
      <c r="K87" t="n">
        <v>0</v>
      </c>
      <c r="L87" t="n">
        <v>0</v>
      </c>
      <c r="M87" t="n">
        <v>0</v>
      </c>
      <c r="N87" t="n">
        <v>0</v>
      </c>
      <c r="O87" t="n">
        <v>0</v>
      </c>
      <c r="P87" t="n">
        <v>0</v>
      </c>
      <c r="Q87" t="n">
        <v>1</v>
      </c>
      <c r="R87" s="2" t="inlineStr">
        <is>
          <t>Grovticka</t>
        </is>
      </c>
      <c r="S87">
        <f>HYPERLINK("https://klasma.github.io/Logging_0861/artfynd/A 27546-2023 artfynd.xlsx", "A 27546-2023")</f>
        <v/>
      </c>
      <c r="T87">
        <f>HYPERLINK("https://klasma.github.io/Logging_0861/kartor/A 27546-2023 karta.png", "A 27546-2023")</f>
        <v/>
      </c>
      <c r="V87">
        <f>HYPERLINK("https://klasma.github.io/Logging_0861/klagomål/A 27546-2023 FSC-klagomål.docx", "A 27546-2023")</f>
        <v/>
      </c>
      <c r="W87">
        <f>HYPERLINK("https://klasma.github.io/Logging_0861/klagomålsmail/A 27546-2023 FSC-klagomål mail.docx", "A 27546-2023")</f>
        <v/>
      </c>
      <c r="X87">
        <f>HYPERLINK("https://klasma.github.io/Logging_0861/tillsyn/A 27546-2023 tillsynsbegäran.docx", "A 27546-2023")</f>
        <v/>
      </c>
      <c r="Y87">
        <f>HYPERLINK("https://klasma.github.io/Logging_0861/tillsynsmail/A 27546-2023 tillsynsbegäran mail.docx", "A 27546-2023")</f>
        <v/>
      </c>
    </row>
    <row r="88" ht="15" customHeight="1">
      <c r="A88" t="inlineStr">
        <is>
          <t>A 41198-2023</t>
        </is>
      </c>
      <c r="B88" s="1" t="n">
        <v>45174</v>
      </c>
      <c r="C88" s="1" t="n">
        <v>45637</v>
      </c>
      <c r="D88" t="inlineStr">
        <is>
          <t>KALMAR LÄN</t>
        </is>
      </c>
      <c r="E88" t="inlineStr">
        <is>
          <t>MÖNSTERÅS</t>
        </is>
      </c>
      <c r="G88" t="n">
        <v>3.5</v>
      </c>
      <c r="H88" t="n">
        <v>1</v>
      </c>
      <c r="I88" t="n">
        <v>0</v>
      </c>
      <c r="J88" t="n">
        <v>0</v>
      </c>
      <c r="K88" t="n">
        <v>0</v>
      </c>
      <c r="L88" t="n">
        <v>0</v>
      </c>
      <c r="M88" t="n">
        <v>0</v>
      </c>
      <c r="N88" t="n">
        <v>0</v>
      </c>
      <c r="O88" t="n">
        <v>0</v>
      </c>
      <c r="P88" t="n">
        <v>0</v>
      </c>
      <c r="Q88" t="n">
        <v>1</v>
      </c>
      <c r="R88" s="2" t="inlineStr">
        <is>
          <t>Revlummer</t>
        </is>
      </c>
      <c r="S88">
        <f>HYPERLINK("https://klasma.github.io/Logging_0861/artfynd/A 41198-2023 artfynd.xlsx", "A 41198-2023")</f>
        <v/>
      </c>
      <c r="T88">
        <f>HYPERLINK("https://klasma.github.io/Logging_0861/kartor/A 41198-2023 karta.png", "A 41198-2023")</f>
        <v/>
      </c>
      <c r="V88">
        <f>HYPERLINK("https://klasma.github.io/Logging_0861/klagomål/A 41198-2023 FSC-klagomål.docx", "A 41198-2023")</f>
        <v/>
      </c>
      <c r="W88">
        <f>HYPERLINK("https://klasma.github.io/Logging_0861/klagomålsmail/A 41198-2023 FSC-klagomål mail.docx", "A 41198-2023")</f>
        <v/>
      </c>
      <c r="X88">
        <f>HYPERLINK("https://klasma.github.io/Logging_0861/tillsyn/A 41198-2023 tillsynsbegäran.docx", "A 41198-2023")</f>
        <v/>
      </c>
      <c r="Y88">
        <f>HYPERLINK("https://klasma.github.io/Logging_0861/tillsynsmail/A 41198-2023 tillsynsbegäran mail.docx", "A 41198-2023")</f>
        <v/>
      </c>
    </row>
    <row r="89" ht="15" customHeight="1">
      <c r="A89" t="inlineStr">
        <is>
          <t>A 7183-2024</t>
        </is>
      </c>
      <c r="B89" s="1" t="n">
        <v>45344</v>
      </c>
      <c r="C89" s="1" t="n">
        <v>45637</v>
      </c>
      <c r="D89" t="inlineStr">
        <is>
          <t>KALMAR LÄN</t>
        </is>
      </c>
      <c r="E89" t="inlineStr">
        <is>
          <t>MÖNSTERÅS</t>
        </is>
      </c>
      <c r="F89" t="inlineStr">
        <is>
          <t>Övriga Aktiebolag</t>
        </is>
      </c>
      <c r="G89" t="n">
        <v>6.6</v>
      </c>
      <c r="H89" t="n">
        <v>0</v>
      </c>
      <c r="I89" t="n">
        <v>0</v>
      </c>
      <c r="J89" t="n">
        <v>1</v>
      </c>
      <c r="K89" t="n">
        <v>0</v>
      </c>
      <c r="L89" t="n">
        <v>0</v>
      </c>
      <c r="M89" t="n">
        <v>0</v>
      </c>
      <c r="N89" t="n">
        <v>0</v>
      </c>
      <c r="O89" t="n">
        <v>1</v>
      </c>
      <c r="P89" t="n">
        <v>0</v>
      </c>
      <c r="Q89" t="n">
        <v>1</v>
      </c>
      <c r="R89" s="2" t="inlineStr">
        <is>
          <t>Aspelandsfibbla</t>
        </is>
      </c>
      <c r="S89">
        <f>HYPERLINK("https://klasma.github.io/Logging_0861/artfynd/A 7183-2024 artfynd.xlsx", "A 7183-2024")</f>
        <v/>
      </c>
      <c r="T89">
        <f>HYPERLINK("https://klasma.github.io/Logging_0861/kartor/A 7183-2024 karta.png", "A 7183-2024")</f>
        <v/>
      </c>
      <c r="V89">
        <f>HYPERLINK("https://klasma.github.io/Logging_0861/klagomål/A 7183-2024 FSC-klagomål.docx", "A 7183-2024")</f>
        <v/>
      </c>
      <c r="W89">
        <f>HYPERLINK("https://klasma.github.io/Logging_0861/klagomålsmail/A 7183-2024 FSC-klagomål mail.docx", "A 7183-2024")</f>
        <v/>
      </c>
      <c r="X89">
        <f>HYPERLINK("https://klasma.github.io/Logging_0861/tillsyn/A 7183-2024 tillsynsbegäran.docx", "A 7183-2024")</f>
        <v/>
      </c>
      <c r="Y89">
        <f>HYPERLINK("https://klasma.github.io/Logging_0861/tillsynsmail/A 7183-2024 tillsynsbegäran mail.docx", "A 7183-2024")</f>
        <v/>
      </c>
    </row>
    <row r="90" ht="15" customHeight="1">
      <c r="A90" t="inlineStr">
        <is>
          <t>A 7941-2024</t>
        </is>
      </c>
      <c r="B90" s="1" t="n">
        <v>45350</v>
      </c>
      <c r="C90" s="1" t="n">
        <v>45637</v>
      </c>
      <c r="D90" t="inlineStr">
        <is>
          <t>KALMAR LÄN</t>
        </is>
      </c>
      <c r="E90" t="inlineStr">
        <is>
          <t>MÖNSTERÅS</t>
        </is>
      </c>
      <c r="F90" t="inlineStr">
        <is>
          <t>Övriga Aktiebolag</t>
        </is>
      </c>
      <c r="G90" t="n">
        <v>5.6</v>
      </c>
      <c r="H90" t="n">
        <v>1</v>
      </c>
      <c r="I90" t="n">
        <v>0</v>
      </c>
      <c r="J90" t="n">
        <v>0</v>
      </c>
      <c r="K90" t="n">
        <v>1</v>
      </c>
      <c r="L90" t="n">
        <v>0</v>
      </c>
      <c r="M90" t="n">
        <v>0</v>
      </c>
      <c r="N90" t="n">
        <v>0</v>
      </c>
      <c r="O90" t="n">
        <v>1</v>
      </c>
      <c r="P90" t="n">
        <v>1</v>
      </c>
      <c r="Q90" t="n">
        <v>1</v>
      </c>
      <c r="R90" s="2" t="inlineStr">
        <is>
          <t>Kricka</t>
        </is>
      </c>
      <c r="S90">
        <f>HYPERLINK("https://klasma.github.io/Logging_0861/artfynd/A 7941-2024 artfynd.xlsx", "A 7941-2024")</f>
        <v/>
      </c>
      <c r="T90">
        <f>HYPERLINK("https://klasma.github.io/Logging_0861/kartor/A 7941-2024 karta.png", "A 7941-2024")</f>
        <v/>
      </c>
      <c r="V90">
        <f>HYPERLINK("https://klasma.github.io/Logging_0861/klagomål/A 7941-2024 FSC-klagomål.docx", "A 7941-2024")</f>
        <v/>
      </c>
      <c r="W90">
        <f>HYPERLINK("https://klasma.github.io/Logging_0861/klagomålsmail/A 7941-2024 FSC-klagomål mail.docx", "A 7941-2024")</f>
        <v/>
      </c>
      <c r="X90">
        <f>HYPERLINK("https://klasma.github.io/Logging_0861/tillsyn/A 7941-2024 tillsynsbegäran.docx", "A 7941-2024")</f>
        <v/>
      </c>
      <c r="Y90">
        <f>HYPERLINK("https://klasma.github.io/Logging_0861/tillsynsmail/A 7941-2024 tillsynsbegäran mail.docx", "A 7941-2024")</f>
        <v/>
      </c>
      <c r="Z90">
        <f>HYPERLINK("https://klasma.github.io/Logging_0861/fåglar/A 7941-2024 prioriterade fågelarter.docx", "A 7941-2024")</f>
        <v/>
      </c>
    </row>
    <row r="91" ht="15" customHeight="1">
      <c r="A91" t="inlineStr">
        <is>
          <t>A 9792-2024</t>
        </is>
      </c>
      <c r="B91" s="1" t="n">
        <v>45362</v>
      </c>
      <c r="C91" s="1" t="n">
        <v>45637</v>
      </c>
      <c r="D91" t="inlineStr">
        <is>
          <t>KALMAR LÄN</t>
        </is>
      </c>
      <c r="E91" t="inlineStr">
        <is>
          <t>MÖNSTERÅS</t>
        </is>
      </c>
      <c r="F91" t="inlineStr">
        <is>
          <t>Övriga Aktiebolag</t>
        </is>
      </c>
      <c r="G91" t="n">
        <v>2.2</v>
      </c>
      <c r="H91" t="n">
        <v>1</v>
      </c>
      <c r="I91" t="n">
        <v>0</v>
      </c>
      <c r="J91" t="n">
        <v>0</v>
      </c>
      <c r="K91" t="n">
        <v>0</v>
      </c>
      <c r="L91" t="n">
        <v>0</v>
      </c>
      <c r="M91" t="n">
        <v>0</v>
      </c>
      <c r="N91" t="n">
        <v>0</v>
      </c>
      <c r="O91" t="n">
        <v>0</v>
      </c>
      <c r="P91" t="n">
        <v>0</v>
      </c>
      <c r="Q91" t="n">
        <v>1</v>
      </c>
      <c r="R91" s="2" t="inlineStr">
        <is>
          <t>Dvärgpipistrell</t>
        </is>
      </c>
      <c r="S91">
        <f>HYPERLINK("https://klasma.github.io/Logging_0861/artfynd/A 9792-2024 artfynd.xlsx", "A 9792-2024")</f>
        <v/>
      </c>
      <c r="T91">
        <f>HYPERLINK("https://klasma.github.io/Logging_0861/kartor/A 9792-2024 karta.png", "A 9792-2024")</f>
        <v/>
      </c>
      <c r="V91">
        <f>HYPERLINK("https://klasma.github.io/Logging_0861/klagomål/A 9792-2024 FSC-klagomål.docx", "A 9792-2024")</f>
        <v/>
      </c>
      <c r="W91">
        <f>HYPERLINK("https://klasma.github.io/Logging_0861/klagomålsmail/A 9792-2024 FSC-klagomål mail.docx", "A 9792-2024")</f>
        <v/>
      </c>
      <c r="X91">
        <f>HYPERLINK("https://klasma.github.io/Logging_0861/tillsyn/A 9792-2024 tillsynsbegäran.docx", "A 9792-2024")</f>
        <v/>
      </c>
      <c r="Y91">
        <f>HYPERLINK("https://klasma.github.io/Logging_0861/tillsynsmail/A 9792-2024 tillsynsbegäran mail.docx", "A 9792-2024")</f>
        <v/>
      </c>
    </row>
    <row r="92" ht="15" customHeight="1">
      <c r="A92" t="inlineStr">
        <is>
          <t>A 9789-2024</t>
        </is>
      </c>
      <c r="B92" s="1" t="n">
        <v>45362</v>
      </c>
      <c r="C92" s="1" t="n">
        <v>45637</v>
      </c>
      <c r="D92" t="inlineStr">
        <is>
          <t>KALMAR LÄN</t>
        </is>
      </c>
      <c r="E92" t="inlineStr">
        <is>
          <t>MÖNSTERÅS</t>
        </is>
      </c>
      <c r="F92" t="inlineStr">
        <is>
          <t>Övriga Aktiebolag</t>
        </is>
      </c>
      <c r="G92" t="n">
        <v>15.8</v>
      </c>
      <c r="H92" t="n">
        <v>0</v>
      </c>
      <c r="I92" t="n">
        <v>1</v>
      </c>
      <c r="J92" t="n">
        <v>0</v>
      </c>
      <c r="K92" t="n">
        <v>0</v>
      </c>
      <c r="L92" t="n">
        <v>0</v>
      </c>
      <c r="M92" t="n">
        <v>0</v>
      </c>
      <c r="N92" t="n">
        <v>0</v>
      </c>
      <c r="O92" t="n">
        <v>0</v>
      </c>
      <c r="P92" t="n">
        <v>0</v>
      </c>
      <c r="Q92" t="n">
        <v>1</v>
      </c>
      <c r="R92" s="2" t="inlineStr">
        <is>
          <t>Jättesvampmal</t>
        </is>
      </c>
      <c r="S92">
        <f>HYPERLINK("https://klasma.github.io/Logging_0861/artfynd/A 9789-2024 artfynd.xlsx", "A 9789-2024")</f>
        <v/>
      </c>
      <c r="T92">
        <f>HYPERLINK("https://klasma.github.io/Logging_0861/kartor/A 9789-2024 karta.png", "A 9789-2024")</f>
        <v/>
      </c>
      <c r="V92">
        <f>HYPERLINK("https://klasma.github.io/Logging_0861/klagomål/A 9789-2024 FSC-klagomål.docx", "A 9789-2024")</f>
        <v/>
      </c>
      <c r="W92">
        <f>HYPERLINK("https://klasma.github.io/Logging_0861/klagomålsmail/A 9789-2024 FSC-klagomål mail.docx", "A 9789-2024")</f>
        <v/>
      </c>
      <c r="X92">
        <f>HYPERLINK("https://klasma.github.io/Logging_0861/tillsyn/A 9789-2024 tillsynsbegäran.docx", "A 9789-2024")</f>
        <v/>
      </c>
      <c r="Y92">
        <f>HYPERLINK("https://klasma.github.io/Logging_0861/tillsynsmail/A 9789-2024 tillsynsbegäran mail.docx", "A 9789-2024")</f>
        <v/>
      </c>
    </row>
    <row r="93" ht="15" customHeight="1">
      <c r="A93" t="inlineStr">
        <is>
          <t>A 10178-2024</t>
        </is>
      </c>
      <c r="B93" s="1" t="n">
        <v>45364</v>
      </c>
      <c r="C93" s="1" t="n">
        <v>45637</v>
      </c>
      <c r="D93" t="inlineStr">
        <is>
          <t>KALMAR LÄN</t>
        </is>
      </c>
      <c r="E93" t="inlineStr">
        <is>
          <t>MÖNSTERÅS</t>
        </is>
      </c>
      <c r="F93" t="inlineStr">
        <is>
          <t>Övriga Aktiebolag</t>
        </is>
      </c>
      <c r="G93" t="n">
        <v>4.8</v>
      </c>
      <c r="H93" t="n">
        <v>1</v>
      </c>
      <c r="I93" t="n">
        <v>0</v>
      </c>
      <c r="J93" t="n">
        <v>1</v>
      </c>
      <c r="K93" t="n">
        <v>0</v>
      </c>
      <c r="L93" t="n">
        <v>0</v>
      </c>
      <c r="M93" t="n">
        <v>0</v>
      </c>
      <c r="N93" t="n">
        <v>0</v>
      </c>
      <c r="O93" t="n">
        <v>1</v>
      </c>
      <c r="P93" t="n">
        <v>0</v>
      </c>
      <c r="Q93" t="n">
        <v>1</v>
      </c>
      <c r="R93" s="2" t="inlineStr">
        <is>
          <t>Spillkråka</t>
        </is>
      </c>
      <c r="S93">
        <f>HYPERLINK("https://klasma.github.io/Logging_0861/artfynd/A 10178-2024 artfynd.xlsx", "A 10178-2024")</f>
        <v/>
      </c>
      <c r="T93">
        <f>HYPERLINK("https://klasma.github.io/Logging_0861/kartor/A 10178-2024 karta.png", "A 10178-2024")</f>
        <v/>
      </c>
      <c r="V93">
        <f>HYPERLINK("https://klasma.github.io/Logging_0861/klagomål/A 10178-2024 FSC-klagomål.docx", "A 10178-2024")</f>
        <v/>
      </c>
      <c r="W93">
        <f>HYPERLINK("https://klasma.github.io/Logging_0861/klagomålsmail/A 10178-2024 FSC-klagomål mail.docx", "A 10178-2024")</f>
        <v/>
      </c>
      <c r="X93">
        <f>HYPERLINK("https://klasma.github.io/Logging_0861/tillsyn/A 10178-2024 tillsynsbegäran.docx", "A 10178-2024")</f>
        <v/>
      </c>
      <c r="Y93">
        <f>HYPERLINK("https://klasma.github.io/Logging_0861/tillsynsmail/A 10178-2024 tillsynsbegäran mail.docx", "A 10178-2024")</f>
        <v/>
      </c>
      <c r="Z93">
        <f>HYPERLINK("https://klasma.github.io/Logging_0861/fåglar/A 10178-2024 prioriterade fågelarter.docx", "A 10178-2024")</f>
        <v/>
      </c>
    </row>
    <row r="94" ht="15" customHeight="1">
      <c r="A94" t="inlineStr">
        <is>
          <t>A 11397-2024</t>
        </is>
      </c>
      <c r="B94" s="1" t="n">
        <v>45372</v>
      </c>
      <c r="C94" s="1" t="n">
        <v>45637</v>
      </c>
      <c r="D94" t="inlineStr">
        <is>
          <t>KALMAR LÄN</t>
        </is>
      </c>
      <c r="E94" t="inlineStr">
        <is>
          <t>MÖNSTERÅS</t>
        </is>
      </c>
      <c r="G94" t="n">
        <v>4.1</v>
      </c>
      <c r="H94" t="n">
        <v>1</v>
      </c>
      <c r="I94" t="n">
        <v>0</v>
      </c>
      <c r="J94" t="n">
        <v>1</v>
      </c>
      <c r="K94" t="n">
        <v>0</v>
      </c>
      <c r="L94" t="n">
        <v>0</v>
      </c>
      <c r="M94" t="n">
        <v>0</v>
      </c>
      <c r="N94" t="n">
        <v>0</v>
      </c>
      <c r="O94" t="n">
        <v>1</v>
      </c>
      <c r="P94" t="n">
        <v>0</v>
      </c>
      <c r="Q94" t="n">
        <v>1</v>
      </c>
      <c r="R94" s="2" t="inlineStr">
        <is>
          <t>Spillkråka</t>
        </is>
      </c>
      <c r="S94">
        <f>HYPERLINK("https://klasma.github.io/Logging_0861/artfynd/A 11397-2024 artfynd.xlsx", "A 11397-2024")</f>
        <v/>
      </c>
      <c r="T94">
        <f>HYPERLINK("https://klasma.github.io/Logging_0861/kartor/A 11397-2024 karta.png", "A 11397-2024")</f>
        <v/>
      </c>
      <c r="V94">
        <f>HYPERLINK("https://klasma.github.io/Logging_0861/klagomål/A 11397-2024 FSC-klagomål.docx", "A 11397-2024")</f>
        <v/>
      </c>
      <c r="W94">
        <f>HYPERLINK("https://klasma.github.io/Logging_0861/klagomålsmail/A 11397-2024 FSC-klagomål mail.docx", "A 11397-2024")</f>
        <v/>
      </c>
      <c r="X94">
        <f>HYPERLINK("https://klasma.github.io/Logging_0861/tillsyn/A 11397-2024 tillsynsbegäran.docx", "A 11397-2024")</f>
        <v/>
      </c>
      <c r="Y94">
        <f>HYPERLINK("https://klasma.github.io/Logging_0861/tillsynsmail/A 11397-2024 tillsynsbegäran mail.docx", "A 11397-2024")</f>
        <v/>
      </c>
      <c r="Z94">
        <f>HYPERLINK("https://klasma.github.io/Logging_0861/fåglar/A 11397-2024 prioriterade fågelarter.docx", "A 11397-2024")</f>
        <v/>
      </c>
    </row>
    <row r="95" ht="15" customHeight="1">
      <c r="A95" t="inlineStr">
        <is>
          <t>A 15898-2024</t>
        </is>
      </c>
      <c r="B95" s="1" t="n">
        <v>45405</v>
      </c>
      <c r="C95" s="1" t="n">
        <v>45637</v>
      </c>
      <c r="D95" t="inlineStr">
        <is>
          <t>KALMAR LÄN</t>
        </is>
      </c>
      <c r="E95" t="inlineStr">
        <is>
          <t>MÖNSTERÅS</t>
        </is>
      </c>
      <c r="G95" t="n">
        <v>0.7</v>
      </c>
      <c r="H95" t="n">
        <v>1</v>
      </c>
      <c r="I95" t="n">
        <v>0</v>
      </c>
      <c r="J95" t="n">
        <v>0</v>
      </c>
      <c r="K95" t="n">
        <v>0</v>
      </c>
      <c r="L95" t="n">
        <v>0</v>
      </c>
      <c r="M95" t="n">
        <v>0</v>
      </c>
      <c r="N95" t="n">
        <v>0</v>
      </c>
      <c r="O95" t="n">
        <v>0</v>
      </c>
      <c r="P95" t="n">
        <v>0</v>
      </c>
      <c r="Q95" t="n">
        <v>1</v>
      </c>
      <c r="R95" s="2" t="inlineStr">
        <is>
          <t>Gullviva</t>
        </is>
      </c>
      <c r="S95">
        <f>HYPERLINK("https://klasma.github.io/Logging_0861/artfynd/A 15898-2024 artfynd.xlsx", "A 15898-2024")</f>
        <v/>
      </c>
      <c r="T95">
        <f>HYPERLINK("https://klasma.github.io/Logging_0861/kartor/A 15898-2024 karta.png", "A 15898-2024")</f>
        <v/>
      </c>
      <c r="V95">
        <f>HYPERLINK("https://klasma.github.io/Logging_0861/klagomål/A 15898-2024 FSC-klagomål.docx", "A 15898-2024")</f>
        <v/>
      </c>
      <c r="W95">
        <f>HYPERLINK("https://klasma.github.io/Logging_0861/klagomålsmail/A 15898-2024 FSC-klagomål mail.docx", "A 15898-2024")</f>
        <v/>
      </c>
      <c r="X95">
        <f>HYPERLINK("https://klasma.github.io/Logging_0861/tillsyn/A 15898-2024 tillsynsbegäran.docx", "A 15898-2024")</f>
        <v/>
      </c>
      <c r="Y95">
        <f>HYPERLINK("https://klasma.github.io/Logging_0861/tillsynsmail/A 15898-2024 tillsynsbegäran mail.docx", "A 15898-2024")</f>
        <v/>
      </c>
    </row>
    <row r="96" ht="15" customHeight="1">
      <c r="A96" t="inlineStr">
        <is>
          <t>A 23879-2024</t>
        </is>
      </c>
      <c r="B96" s="1" t="n">
        <v>45455</v>
      </c>
      <c r="C96" s="1" t="n">
        <v>45637</v>
      </c>
      <c r="D96" t="inlineStr">
        <is>
          <t>KALMAR LÄN</t>
        </is>
      </c>
      <c r="E96" t="inlineStr">
        <is>
          <t>MÖNSTERÅS</t>
        </is>
      </c>
      <c r="G96" t="n">
        <v>0.6</v>
      </c>
      <c r="H96" t="n">
        <v>0</v>
      </c>
      <c r="I96" t="n">
        <v>0</v>
      </c>
      <c r="J96" t="n">
        <v>1</v>
      </c>
      <c r="K96" t="n">
        <v>0</v>
      </c>
      <c r="L96" t="n">
        <v>0</v>
      </c>
      <c r="M96" t="n">
        <v>0</v>
      </c>
      <c r="N96" t="n">
        <v>0</v>
      </c>
      <c r="O96" t="n">
        <v>1</v>
      </c>
      <c r="P96" t="n">
        <v>0</v>
      </c>
      <c r="Q96" t="n">
        <v>1</v>
      </c>
      <c r="R96" s="2" t="inlineStr">
        <is>
          <t>Ekticka</t>
        </is>
      </c>
      <c r="S96">
        <f>HYPERLINK("https://klasma.github.io/Logging_0861/artfynd/A 23879-2024 artfynd.xlsx", "A 23879-2024")</f>
        <v/>
      </c>
      <c r="T96">
        <f>HYPERLINK("https://klasma.github.io/Logging_0861/kartor/A 23879-2024 karta.png", "A 23879-2024")</f>
        <v/>
      </c>
      <c r="V96">
        <f>HYPERLINK("https://klasma.github.io/Logging_0861/klagomål/A 23879-2024 FSC-klagomål.docx", "A 23879-2024")</f>
        <v/>
      </c>
      <c r="W96">
        <f>HYPERLINK("https://klasma.github.io/Logging_0861/klagomålsmail/A 23879-2024 FSC-klagomål mail.docx", "A 23879-2024")</f>
        <v/>
      </c>
      <c r="X96">
        <f>HYPERLINK("https://klasma.github.io/Logging_0861/tillsyn/A 23879-2024 tillsynsbegäran.docx", "A 23879-2024")</f>
        <v/>
      </c>
      <c r="Y96">
        <f>HYPERLINK("https://klasma.github.io/Logging_0861/tillsynsmail/A 23879-2024 tillsynsbegäran mail.docx", "A 23879-2024")</f>
        <v/>
      </c>
    </row>
    <row r="97" ht="15" customHeight="1">
      <c r="A97" t="inlineStr">
        <is>
          <t>A 25605-2024</t>
        </is>
      </c>
      <c r="B97" s="1" t="n">
        <v>45463</v>
      </c>
      <c r="C97" s="1" t="n">
        <v>45637</v>
      </c>
      <c r="D97" t="inlineStr">
        <is>
          <t>KALMAR LÄN</t>
        </is>
      </c>
      <c r="E97" t="inlineStr">
        <is>
          <t>MÖNSTERÅS</t>
        </is>
      </c>
      <c r="G97" t="n">
        <v>1</v>
      </c>
      <c r="H97" t="n">
        <v>1</v>
      </c>
      <c r="I97" t="n">
        <v>0</v>
      </c>
      <c r="J97" t="n">
        <v>0</v>
      </c>
      <c r="K97" t="n">
        <v>0</v>
      </c>
      <c r="L97" t="n">
        <v>0</v>
      </c>
      <c r="M97" t="n">
        <v>0</v>
      </c>
      <c r="N97" t="n">
        <v>0</v>
      </c>
      <c r="O97" t="n">
        <v>0</v>
      </c>
      <c r="P97" t="n">
        <v>0</v>
      </c>
      <c r="Q97" t="n">
        <v>1</v>
      </c>
      <c r="R97" s="2" t="inlineStr">
        <is>
          <t>Gullviva</t>
        </is>
      </c>
      <c r="S97">
        <f>HYPERLINK("https://klasma.github.io/Logging_0861/artfynd/A 25605-2024 artfynd.xlsx", "A 25605-2024")</f>
        <v/>
      </c>
      <c r="T97">
        <f>HYPERLINK("https://klasma.github.io/Logging_0861/kartor/A 25605-2024 karta.png", "A 25605-2024")</f>
        <v/>
      </c>
      <c r="V97">
        <f>HYPERLINK("https://klasma.github.io/Logging_0861/klagomål/A 25605-2024 FSC-klagomål.docx", "A 25605-2024")</f>
        <v/>
      </c>
      <c r="W97">
        <f>HYPERLINK("https://klasma.github.io/Logging_0861/klagomålsmail/A 25605-2024 FSC-klagomål mail.docx", "A 25605-2024")</f>
        <v/>
      </c>
      <c r="X97">
        <f>HYPERLINK("https://klasma.github.io/Logging_0861/tillsyn/A 25605-2024 tillsynsbegäran.docx", "A 25605-2024")</f>
        <v/>
      </c>
      <c r="Y97">
        <f>HYPERLINK("https://klasma.github.io/Logging_0861/tillsynsmail/A 25605-2024 tillsynsbegäran mail.docx", "A 25605-2024")</f>
        <v/>
      </c>
    </row>
    <row r="98" ht="15" customHeight="1">
      <c r="A98" t="inlineStr">
        <is>
          <t>A 30022-2024</t>
        </is>
      </c>
      <c r="B98" s="1" t="n">
        <v>45488</v>
      </c>
      <c r="C98" s="1" t="n">
        <v>45637</v>
      </c>
      <c r="D98" t="inlineStr">
        <is>
          <t>KALMAR LÄN</t>
        </is>
      </c>
      <c r="E98" t="inlineStr">
        <is>
          <t>MÖNSTERÅS</t>
        </is>
      </c>
      <c r="G98" t="n">
        <v>1.9</v>
      </c>
      <c r="H98" t="n">
        <v>0</v>
      </c>
      <c r="I98" t="n">
        <v>1</v>
      </c>
      <c r="J98" t="n">
        <v>0</v>
      </c>
      <c r="K98" t="n">
        <v>0</v>
      </c>
      <c r="L98" t="n">
        <v>0</v>
      </c>
      <c r="M98" t="n">
        <v>0</v>
      </c>
      <c r="N98" t="n">
        <v>0</v>
      </c>
      <c r="O98" t="n">
        <v>0</v>
      </c>
      <c r="P98" t="n">
        <v>0</v>
      </c>
      <c r="Q98" t="n">
        <v>1</v>
      </c>
      <c r="R98" s="2" t="inlineStr">
        <is>
          <t>Bronshjon</t>
        </is>
      </c>
      <c r="S98">
        <f>HYPERLINK("https://klasma.github.io/Logging_0861/artfynd/A 30022-2024 artfynd.xlsx", "A 30022-2024")</f>
        <v/>
      </c>
      <c r="T98">
        <f>HYPERLINK("https://klasma.github.io/Logging_0861/kartor/A 30022-2024 karta.png", "A 30022-2024")</f>
        <v/>
      </c>
      <c r="V98">
        <f>HYPERLINK("https://klasma.github.io/Logging_0861/klagomål/A 30022-2024 FSC-klagomål.docx", "A 30022-2024")</f>
        <v/>
      </c>
      <c r="W98">
        <f>HYPERLINK("https://klasma.github.io/Logging_0861/klagomålsmail/A 30022-2024 FSC-klagomål mail.docx", "A 30022-2024")</f>
        <v/>
      </c>
      <c r="X98">
        <f>HYPERLINK("https://klasma.github.io/Logging_0861/tillsyn/A 30022-2024 tillsynsbegäran.docx", "A 30022-2024")</f>
        <v/>
      </c>
      <c r="Y98">
        <f>HYPERLINK("https://klasma.github.io/Logging_0861/tillsynsmail/A 30022-2024 tillsynsbegäran mail.docx", "A 30022-2024")</f>
        <v/>
      </c>
    </row>
    <row r="99" ht="15" customHeight="1">
      <c r="A99" t="inlineStr">
        <is>
          <t>A 36886-2024</t>
        </is>
      </c>
      <c r="B99" s="1" t="n">
        <v>45538</v>
      </c>
      <c r="C99" s="1" t="n">
        <v>45637</v>
      </c>
      <c r="D99" t="inlineStr">
        <is>
          <t>KALMAR LÄN</t>
        </is>
      </c>
      <c r="E99" t="inlineStr">
        <is>
          <t>MÖNSTERÅS</t>
        </is>
      </c>
      <c r="G99" t="n">
        <v>10.2</v>
      </c>
      <c r="H99" t="n">
        <v>0</v>
      </c>
      <c r="I99" t="n">
        <v>1</v>
      </c>
      <c r="J99" t="n">
        <v>0</v>
      </c>
      <c r="K99" t="n">
        <v>0</v>
      </c>
      <c r="L99" t="n">
        <v>0</v>
      </c>
      <c r="M99" t="n">
        <v>0</v>
      </c>
      <c r="N99" t="n">
        <v>0</v>
      </c>
      <c r="O99" t="n">
        <v>0</v>
      </c>
      <c r="P99" t="n">
        <v>0</v>
      </c>
      <c r="Q99" t="n">
        <v>1</v>
      </c>
      <c r="R99" s="2" t="inlineStr">
        <is>
          <t>Underviol</t>
        </is>
      </c>
      <c r="S99">
        <f>HYPERLINK("https://klasma.github.io/Logging_0861/artfynd/A 36886-2024 artfynd.xlsx", "A 36886-2024")</f>
        <v/>
      </c>
      <c r="T99">
        <f>HYPERLINK("https://klasma.github.io/Logging_0861/kartor/A 36886-2024 karta.png", "A 36886-2024")</f>
        <v/>
      </c>
      <c r="V99">
        <f>HYPERLINK("https://klasma.github.io/Logging_0861/klagomål/A 36886-2024 FSC-klagomål.docx", "A 36886-2024")</f>
        <v/>
      </c>
      <c r="W99">
        <f>HYPERLINK("https://klasma.github.io/Logging_0861/klagomålsmail/A 36886-2024 FSC-klagomål mail.docx", "A 36886-2024")</f>
        <v/>
      </c>
      <c r="X99">
        <f>HYPERLINK("https://klasma.github.io/Logging_0861/tillsyn/A 36886-2024 tillsynsbegäran.docx", "A 36886-2024")</f>
        <v/>
      </c>
      <c r="Y99">
        <f>HYPERLINK("https://klasma.github.io/Logging_0861/tillsynsmail/A 36886-2024 tillsynsbegäran mail.docx", "A 36886-2024")</f>
        <v/>
      </c>
    </row>
    <row r="100" ht="15" customHeight="1">
      <c r="A100" t="inlineStr">
        <is>
          <t>A 44954-2024</t>
        </is>
      </c>
      <c r="B100" s="1" t="n">
        <v>45575</v>
      </c>
      <c r="C100" s="1" t="n">
        <v>45637</v>
      </c>
      <c r="D100" t="inlineStr">
        <is>
          <t>KALMAR LÄN</t>
        </is>
      </c>
      <c r="E100" t="inlineStr">
        <is>
          <t>MÖNSTERÅS</t>
        </is>
      </c>
      <c r="G100" t="n">
        <v>3.3</v>
      </c>
      <c r="H100" t="n">
        <v>1</v>
      </c>
      <c r="I100" t="n">
        <v>0</v>
      </c>
      <c r="J100" t="n">
        <v>0</v>
      </c>
      <c r="K100" t="n">
        <v>0</v>
      </c>
      <c r="L100" t="n">
        <v>0</v>
      </c>
      <c r="M100" t="n">
        <v>0</v>
      </c>
      <c r="N100" t="n">
        <v>0</v>
      </c>
      <c r="O100" t="n">
        <v>0</v>
      </c>
      <c r="P100" t="n">
        <v>0</v>
      </c>
      <c r="Q100" t="n">
        <v>1</v>
      </c>
      <c r="R100" s="2" t="inlineStr">
        <is>
          <t>Revlummer</t>
        </is>
      </c>
      <c r="S100">
        <f>HYPERLINK("https://klasma.github.io/Logging_0861/artfynd/A 44954-2024 artfynd.xlsx", "A 44954-2024")</f>
        <v/>
      </c>
      <c r="T100">
        <f>HYPERLINK("https://klasma.github.io/Logging_0861/kartor/A 44954-2024 karta.png", "A 44954-2024")</f>
        <v/>
      </c>
      <c r="V100">
        <f>HYPERLINK("https://klasma.github.io/Logging_0861/klagomål/A 44954-2024 FSC-klagomål.docx", "A 44954-2024")</f>
        <v/>
      </c>
      <c r="W100">
        <f>HYPERLINK("https://klasma.github.io/Logging_0861/klagomålsmail/A 44954-2024 FSC-klagomål mail.docx", "A 44954-2024")</f>
        <v/>
      </c>
      <c r="X100">
        <f>HYPERLINK("https://klasma.github.io/Logging_0861/tillsyn/A 44954-2024 tillsynsbegäran.docx", "A 44954-2024")</f>
        <v/>
      </c>
      <c r="Y100">
        <f>HYPERLINK("https://klasma.github.io/Logging_0861/tillsynsmail/A 44954-2024 tillsynsbegäran mail.docx", "A 44954-2024")</f>
        <v/>
      </c>
    </row>
    <row r="101" ht="15" customHeight="1">
      <c r="A101" t="inlineStr">
        <is>
          <t>A 19089-2019</t>
        </is>
      </c>
      <c r="B101" s="1" t="n">
        <v>43564</v>
      </c>
      <c r="C101" s="1" t="n">
        <v>45637</v>
      </c>
      <c r="D101" t="inlineStr">
        <is>
          <t>KALMAR LÄN</t>
        </is>
      </c>
      <c r="E101" t="inlineStr">
        <is>
          <t>MÖNSTERÅS</t>
        </is>
      </c>
      <c r="F101" t="inlineStr">
        <is>
          <t>Kommuner</t>
        </is>
      </c>
      <c r="G101" t="n">
        <v>7.4</v>
      </c>
      <c r="H101" t="n">
        <v>0</v>
      </c>
      <c r="I101" t="n">
        <v>0</v>
      </c>
      <c r="J101" t="n">
        <v>0</v>
      </c>
      <c r="K101" t="n">
        <v>0</v>
      </c>
      <c r="L101" t="n">
        <v>0</v>
      </c>
      <c r="M101" t="n">
        <v>0</v>
      </c>
      <c r="N101" t="n">
        <v>0</v>
      </c>
      <c r="O101" t="n">
        <v>0</v>
      </c>
      <c r="P101" t="n">
        <v>0</v>
      </c>
      <c r="Q101" t="n">
        <v>0</v>
      </c>
      <c r="R101" s="2" t="inlineStr"/>
    </row>
    <row r="102" ht="15" customHeight="1">
      <c r="A102" t="inlineStr">
        <is>
          <t>A 19087-2019</t>
        </is>
      </c>
      <c r="B102" s="1" t="n">
        <v>43564</v>
      </c>
      <c r="C102" s="1" t="n">
        <v>45637</v>
      </c>
      <c r="D102" t="inlineStr">
        <is>
          <t>KALMAR LÄN</t>
        </is>
      </c>
      <c r="E102" t="inlineStr">
        <is>
          <t>MÖNSTERÅS</t>
        </is>
      </c>
      <c r="G102" t="n">
        <v>3.7</v>
      </c>
      <c r="H102" t="n">
        <v>0</v>
      </c>
      <c r="I102" t="n">
        <v>0</v>
      </c>
      <c r="J102" t="n">
        <v>0</v>
      </c>
      <c r="K102" t="n">
        <v>0</v>
      </c>
      <c r="L102" t="n">
        <v>0</v>
      </c>
      <c r="M102" t="n">
        <v>0</v>
      </c>
      <c r="N102" t="n">
        <v>0</v>
      </c>
      <c r="O102" t="n">
        <v>0</v>
      </c>
      <c r="P102" t="n">
        <v>0</v>
      </c>
      <c r="Q102" t="n">
        <v>0</v>
      </c>
      <c r="R102" s="2" t="inlineStr"/>
    </row>
    <row r="103" ht="15" customHeight="1">
      <c r="A103" t="inlineStr">
        <is>
          <t>A 20430-2019</t>
        </is>
      </c>
      <c r="B103" s="1" t="n">
        <v>43571</v>
      </c>
      <c r="C103" s="1" t="n">
        <v>45637</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21140-2019</t>
        </is>
      </c>
      <c r="B104" s="1" t="n">
        <v>43579</v>
      </c>
      <c r="C104" s="1" t="n">
        <v>45637</v>
      </c>
      <c r="D104" t="inlineStr">
        <is>
          <t>KALMAR LÄN</t>
        </is>
      </c>
      <c r="E104" t="inlineStr">
        <is>
          <t>MÖNSTERÅS</t>
        </is>
      </c>
      <c r="G104" t="n">
        <v>3.2</v>
      </c>
      <c r="H104" t="n">
        <v>0</v>
      </c>
      <c r="I104" t="n">
        <v>0</v>
      </c>
      <c r="J104" t="n">
        <v>0</v>
      </c>
      <c r="K104" t="n">
        <v>0</v>
      </c>
      <c r="L104" t="n">
        <v>0</v>
      </c>
      <c r="M104" t="n">
        <v>0</v>
      </c>
      <c r="N104" t="n">
        <v>0</v>
      </c>
      <c r="O104" t="n">
        <v>0</v>
      </c>
      <c r="P104" t="n">
        <v>0</v>
      </c>
      <c r="Q104" t="n">
        <v>0</v>
      </c>
      <c r="R104" s="2" t="inlineStr"/>
    </row>
    <row r="105" ht="15" customHeight="1">
      <c r="A105" t="inlineStr">
        <is>
          <t>A 21187-2019</t>
        </is>
      </c>
      <c r="B105" s="1" t="n">
        <v>43579</v>
      </c>
      <c r="C105" s="1" t="n">
        <v>45637</v>
      </c>
      <c r="D105" t="inlineStr">
        <is>
          <t>KALMAR LÄN</t>
        </is>
      </c>
      <c r="E105" t="inlineStr">
        <is>
          <t>MÖNSTERÅS</t>
        </is>
      </c>
      <c r="G105" t="n">
        <v>2.6</v>
      </c>
      <c r="H105" t="n">
        <v>0</v>
      </c>
      <c r="I105" t="n">
        <v>0</v>
      </c>
      <c r="J105" t="n">
        <v>0</v>
      </c>
      <c r="K105" t="n">
        <v>0</v>
      </c>
      <c r="L105" t="n">
        <v>0</v>
      </c>
      <c r="M105" t="n">
        <v>0</v>
      </c>
      <c r="N105" t="n">
        <v>0</v>
      </c>
      <c r="O105" t="n">
        <v>0</v>
      </c>
      <c r="P105" t="n">
        <v>0</v>
      </c>
      <c r="Q105" t="n">
        <v>0</v>
      </c>
      <c r="R105" s="2" t="inlineStr"/>
    </row>
    <row r="106" ht="15" customHeight="1">
      <c r="A106" t="inlineStr">
        <is>
          <t>A 21909-2019</t>
        </is>
      </c>
      <c r="B106" s="1" t="n">
        <v>43584</v>
      </c>
      <c r="C106" s="1" t="n">
        <v>45637</v>
      </c>
      <c r="D106" t="inlineStr">
        <is>
          <t>KALMAR LÄN</t>
        </is>
      </c>
      <c r="E106" t="inlineStr">
        <is>
          <t>MÖNSTERÅS</t>
        </is>
      </c>
      <c r="G106" t="n">
        <v>2.4</v>
      </c>
      <c r="H106" t="n">
        <v>0</v>
      </c>
      <c r="I106" t="n">
        <v>0</v>
      </c>
      <c r="J106" t="n">
        <v>0</v>
      </c>
      <c r="K106" t="n">
        <v>0</v>
      </c>
      <c r="L106" t="n">
        <v>0</v>
      </c>
      <c r="M106" t="n">
        <v>0</v>
      </c>
      <c r="N106" t="n">
        <v>0</v>
      </c>
      <c r="O106" t="n">
        <v>0</v>
      </c>
      <c r="P106" t="n">
        <v>0</v>
      </c>
      <c r="Q106" t="n">
        <v>0</v>
      </c>
      <c r="R106" s="2" t="inlineStr"/>
    </row>
    <row r="107" ht="15" customHeight="1">
      <c r="A107" t="inlineStr">
        <is>
          <t>A 21926-2019</t>
        </is>
      </c>
      <c r="B107" s="1" t="n">
        <v>43584</v>
      </c>
      <c r="C107" s="1" t="n">
        <v>45637</v>
      </c>
      <c r="D107" t="inlineStr">
        <is>
          <t>KALMAR LÄN</t>
        </is>
      </c>
      <c r="E107" t="inlineStr">
        <is>
          <t>MÖNSTERÅS</t>
        </is>
      </c>
      <c r="G107" t="n">
        <v>2.7</v>
      </c>
      <c r="H107" t="n">
        <v>0</v>
      </c>
      <c r="I107" t="n">
        <v>0</v>
      </c>
      <c r="J107" t="n">
        <v>0</v>
      </c>
      <c r="K107" t="n">
        <v>0</v>
      </c>
      <c r="L107" t="n">
        <v>0</v>
      </c>
      <c r="M107" t="n">
        <v>0</v>
      </c>
      <c r="N107" t="n">
        <v>0</v>
      </c>
      <c r="O107" t="n">
        <v>0</v>
      </c>
      <c r="P107" t="n">
        <v>0</v>
      </c>
      <c r="Q107" t="n">
        <v>0</v>
      </c>
      <c r="R107" s="2" t="inlineStr"/>
    </row>
    <row r="108" ht="15" customHeight="1">
      <c r="A108" t="inlineStr">
        <is>
          <t>A 21912-2019</t>
        </is>
      </c>
      <c r="B108" s="1" t="n">
        <v>43584</v>
      </c>
      <c r="C108" s="1" t="n">
        <v>45637</v>
      </c>
      <c r="D108" t="inlineStr">
        <is>
          <t>KALMAR LÄN</t>
        </is>
      </c>
      <c r="E108" t="inlineStr">
        <is>
          <t>MÖNSTERÅS</t>
        </is>
      </c>
      <c r="G108" t="n">
        <v>4.1</v>
      </c>
      <c r="H108" t="n">
        <v>0</v>
      </c>
      <c r="I108" t="n">
        <v>0</v>
      </c>
      <c r="J108" t="n">
        <v>0</v>
      </c>
      <c r="K108" t="n">
        <v>0</v>
      </c>
      <c r="L108" t="n">
        <v>0</v>
      </c>
      <c r="M108" t="n">
        <v>0</v>
      </c>
      <c r="N108" t="n">
        <v>0</v>
      </c>
      <c r="O108" t="n">
        <v>0</v>
      </c>
      <c r="P108" t="n">
        <v>0</v>
      </c>
      <c r="Q108" t="n">
        <v>0</v>
      </c>
      <c r="R108" s="2" t="inlineStr"/>
    </row>
    <row r="109" ht="15" customHeight="1">
      <c r="A109" t="inlineStr">
        <is>
          <t>A 24054-2019</t>
        </is>
      </c>
      <c r="B109" s="1" t="n">
        <v>43598</v>
      </c>
      <c r="C109" s="1" t="n">
        <v>45637</v>
      </c>
      <c r="D109" t="inlineStr">
        <is>
          <t>KALMAR LÄN</t>
        </is>
      </c>
      <c r="E109" t="inlineStr">
        <is>
          <t>MÖNSTERÅS</t>
        </is>
      </c>
      <c r="G109" t="n">
        <v>1.4</v>
      </c>
      <c r="H109" t="n">
        <v>0</v>
      </c>
      <c r="I109" t="n">
        <v>0</v>
      </c>
      <c r="J109" t="n">
        <v>0</v>
      </c>
      <c r="K109" t="n">
        <v>0</v>
      </c>
      <c r="L109" t="n">
        <v>0</v>
      </c>
      <c r="M109" t="n">
        <v>0</v>
      </c>
      <c r="N109" t="n">
        <v>0</v>
      </c>
      <c r="O109" t="n">
        <v>0</v>
      </c>
      <c r="P109" t="n">
        <v>0</v>
      </c>
      <c r="Q109" t="n">
        <v>0</v>
      </c>
      <c r="R109" s="2" t="inlineStr"/>
    </row>
    <row r="110" ht="15" customHeight="1">
      <c r="A110" t="inlineStr">
        <is>
          <t>A 24822-2019</t>
        </is>
      </c>
      <c r="B110" s="1" t="n">
        <v>43602</v>
      </c>
      <c r="C110" s="1" t="n">
        <v>45637</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24950-2019</t>
        </is>
      </c>
      <c r="B111" s="1" t="n">
        <v>43602</v>
      </c>
      <c r="C111" s="1" t="n">
        <v>45637</v>
      </c>
      <c r="D111" t="inlineStr">
        <is>
          <t>KALMAR LÄN</t>
        </is>
      </c>
      <c r="E111" t="inlineStr">
        <is>
          <t>MÖNSTERÅS</t>
        </is>
      </c>
      <c r="G111" t="n">
        <v>0.5</v>
      </c>
      <c r="H111" t="n">
        <v>0</v>
      </c>
      <c r="I111" t="n">
        <v>0</v>
      </c>
      <c r="J111" t="n">
        <v>0</v>
      </c>
      <c r="K111" t="n">
        <v>0</v>
      </c>
      <c r="L111" t="n">
        <v>0</v>
      </c>
      <c r="M111" t="n">
        <v>0</v>
      </c>
      <c r="N111" t="n">
        <v>0</v>
      </c>
      <c r="O111" t="n">
        <v>0</v>
      </c>
      <c r="P111" t="n">
        <v>0</v>
      </c>
      <c r="Q111" t="n">
        <v>0</v>
      </c>
      <c r="R111" s="2" t="inlineStr"/>
    </row>
    <row r="112" ht="15" customHeight="1">
      <c r="A112" t="inlineStr">
        <is>
          <t>A 25173-2019</t>
        </is>
      </c>
      <c r="B112" s="1" t="n">
        <v>43605</v>
      </c>
      <c r="C112" s="1" t="n">
        <v>45637</v>
      </c>
      <c r="D112" t="inlineStr">
        <is>
          <t>KALMAR LÄN</t>
        </is>
      </c>
      <c r="E112" t="inlineStr">
        <is>
          <t>MÖNSTERÅS</t>
        </is>
      </c>
      <c r="G112" t="n">
        <v>0.8</v>
      </c>
      <c r="H112" t="n">
        <v>0</v>
      </c>
      <c r="I112" t="n">
        <v>0</v>
      </c>
      <c r="J112" t="n">
        <v>0</v>
      </c>
      <c r="K112" t="n">
        <v>0</v>
      </c>
      <c r="L112" t="n">
        <v>0</v>
      </c>
      <c r="M112" t="n">
        <v>0</v>
      </c>
      <c r="N112" t="n">
        <v>0</v>
      </c>
      <c r="O112" t="n">
        <v>0</v>
      </c>
      <c r="P112" t="n">
        <v>0</v>
      </c>
      <c r="Q112" t="n">
        <v>0</v>
      </c>
      <c r="R112" s="2" t="inlineStr"/>
    </row>
    <row r="113" ht="15" customHeight="1">
      <c r="A113" t="inlineStr">
        <is>
          <t>A 25906-2019</t>
        </is>
      </c>
      <c r="B113" s="1" t="n">
        <v>43608</v>
      </c>
      <c r="C113" s="1" t="n">
        <v>45637</v>
      </c>
      <c r="D113" t="inlineStr">
        <is>
          <t>KALMAR LÄN</t>
        </is>
      </c>
      <c r="E113" t="inlineStr">
        <is>
          <t>MÖNSTERÅS</t>
        </is>
      </c>
      <c r="G113" t="n">
        <v>0.6</v>
      </c>
      <c r="H113" t="n">
        <v>0</v>
      </c>
      <c r="I113" t="n">
        <v>0</v>
      </c>
      <c r="J113" t="n">
        <v>0</v>
      </c>
      <c r="K113" t="n">
        <v>0</v>
      </c>
      <c r="L113" t="n">
        <v>0</v>
      </c>
      <c r="M113" t="n">
        <v>0</v>
      </c>
      <c r="N113" t="n">
        <v>0</v>
      </c>
      <c r="O113" t="n">
        <v>0</v>
      </c>
      <c r="P113" t="n">
        <v>0</v>
      </c>
      <c r="Q113" t="n">
        <v>0</v>
      </c>
      <c r="R113" s="2" t="inlineStr"/>
    </row>
    <row r="114" ht="15" customHeight="1">
      <c r="A114" t="inlineStr">
        <is>
          <t>A 26934-2019</t>
        </is>
      </c>
      <c r="B114" s="1" t="n">
        <v>43613</v>
      </c>
      <c r="C114" s="1" t="n">
        <v>45637</v>
      </c>
      <c r="D114" t="inlineStr">
        <is>
          <t>KALMAR LÄN</t>
        </is>
      </c>
      <c r="E114" t="inlineStr">
        <is>
          <t>MÖNSTERÅS</t>
        </is>
      </c>
      <c r="G114" t="n">
        <v>2</v>
      </c>
      <c r="H114" t="n">
        <v>0</v>
      </c>
      <c r="I114" t="n">
        <v>0</v>
      </c>
      <c r="J114" t="n">
        <v>0</v>
      </c>
      <c r="K114" t="n">
        <v>0</v>
      </c>
      <c r="L114" t="n">
        <v>0</v>
      </c>
      <c r="M114" t="n">
        <v>0</v>
      </c>
      <c r="N114" t="n">
        <v>0</v>
      </c>
      <c r="O114" t="n">
        <v>0</v>
      </c>
      <c r="P114" t="n">
        <v>0</v>
      </c>
      <c r="Q114" t="n">
        <v>0</v>
      </c>
      <c r="R114" s="2" t="inlineStr"/>
    </row>
    <row r="115" ht="15" customHeight="1">
      <c r="A115" t="inlineStr">
        <is>
          <t>A 26936-2019</t>
        </is>
      </c>
      <c r="B115" s="1" t="n">
        <v>43613</v>
      </c>
      <c r="C115" s="1" t="n">
        <v>45637</v>
      </c>
      <c r="D115" t="inlineStr">
        <is>
          <t>KALMAR LÄN</t>
        </is>
      </c>
      <c r="E115" t="inlineStr">
        <is>
          <t>MÖNSTERÅS</t>
        </is>
      </c>
      <c r="G115" t="n">
        <v>2.1</v>
      </c>
      <c r="H115" t="n">
        <v>0</v>
      </c>
      <c r="I115" t="n">
        <v>0</v>
      </c>
      <c r="J115" t="n">
        <v>0</v>
      </c>
      <c r="K115" t="n">
        <v>0</v>
      </c>
      <c r="L115" t="n">
        <v>0</v>
      </c>
      <c r="M115" t="n">
        <v>0</v>
      </c>
      <c r="N115" t="n">
        <v>0</v>
      </c>
      <c r="O115" t="n">
        <v>0</v>
      </c>
      <c r="P115" t="n">
        <v>0</v>
      </c>
      <c r="Q115" t="n">
        <v>0</v>
      </c>
      <c r="R115" s="2" t="inlineStr"/>
    </row>
    <row r="116" ht="15" customHeight="1">
      <c r="A116" t="inlineStr">
        <is>
          <t>A 27129-2019</t>
        </is>
      </c>
      <c r="B116" s="1" t="n">
        <v>43614</v>
      </c>
      <c r="C116" s="1" t="n">
        <v>45637</v>
      </c>
      <c r="D116" t="inlineStr">
        <is>
          <t>KALMAR LÄN</t>
        </is>
      </c>
      <c r="E116" t="inlineStr">
        <is>
          <t>MÖNSTERÅS</t>
        </is>
      </c>
      <c r="G116" t="n">
        <v>3.8</v>
      </c>
      <c r="H116" t="n">
        <v>0</v>
      </c>
      <c r="I116" t="n">
        <v>0</v>
      </c>
      <c r="J116" t="n">
        <v>0</v>
      </c>
      <c r="K116" t="n">
        <v>0</v>
      </c>
      <c r="L116" t="n">
        <v>0</v>
      </c>
      <c r="M116" t="n">
        <v>0</v>
      </c>
      <c r="N116" t="n">
        <v>0</v>
      </c>
      <c r="O116" t="n">
        <v>0</v>
      </c>
      <c r="P116" t="n">
        <v>0</v>
      </c>
      <c r="Q116" t="n">
        <v>0</v>
      </c>
      <c r="R116" s="2" t="inlineStr"/>
    </row>
    <row r="117" ht="15" customHeight="1">
      <c r="A117" t="inlineStr">
        <is>
          <t>A 27526-2019</t>
        </is>
      </c>
      <c r="B117" s="1" t="n">
        <v>43619</v>
      </c>
      <c r="C117" s="1" t="n">
        <v>45637</v>
      </c>
      <c r="D117" t="inlineStr">
        <is>
          <t>KALMAR LÄN</t>
        </is>
      </c>
      <c r="E117" t="inlineStr">
        <is>
          <t>MÖNSTERÅS</t>
        </is>
      </c>
      <c r="G117" t="n">
        <v>5.5</v>
      </c>
      <c r="H117" t="n">
        <v>0</v>
      </c>
      <c r="I117" t="n">
        <v>0</v>
      </c>
      <c r="J117" t="n">
        <v>0</v>
      </c>
      <c r="K117" t="n">
        <v>0</v>
      </c>
      <c r="L117" t="n">
        <v>0</v>
      </c>
      <c r="M117" t="n">
        <v>0</v>
      </c>
      <c r="N117" t="n">
        <v>0</v>
      </c>
      <c r="O117" t="n">
        <v>0</v>
      </c>
      <c r="P117" t="n">
        <v>0</v>
      </c>
      <c r="Q117" t="n">
        <v>0</v>
      </c>
      <c r="R117" s="2" t="inlineStr"/>
    </row>
    <row r="118" ht="15" customHeight="1">
      <c r="A118" t="inlineStr">
        <is>
          <t>A 27904-2019</t>
        </is>
      </c>
      <c r="B118" s="1" t="n">
        <v>43620</v>
      </c>
      <c r="C118" s="1" t="n">
        <v>45637</v>
      </c>
      <c r="D118" t="inlineStr">
        <is>
          <t>KALMAR LÄN</t>
        </is>
      </c>
      <c r="E118" t="inlineStr">
        <is>
          <t>MÖNSTERÅS</t>
        </is>
      </c>
      <c r="G118" t="n">
        <v>1.8</v>
      </c>
      <c r="H118" t="n">
        <v>0</v>
      </c>
      <c r="I118" t="n">
        <v>0</v>
      </c>
      <c r="J118" t="n">
        <v>0</v>
      </c>
      <c r="K118" t="n">
        <v>0</v>
      </c>
      <c r="L118" t="n">
        <v>0</v>
      </c>
      <c r="M118" t="n">
        <v>0</v>
      </c>
      <c r="N118" t="n">
        <v>0</v>
      </c>
      <c r="O118" t="n">
        <v>0</v>
      </c>
      <c r="P118" t="n">
        <v>0</v>
      </c>
      <c r="Q118" t="n">
        <v>0</v>
      </c>
      <c r="R118" s="2" t="inlineStr"/>
    </row>
    <row r="119" ht="15" customHeight="1">
      <c r="A119" t="inlineStr">
        <is>
          <t>A 28771-2019</t>
        </is>
      </c>
      <c r="B119" s="1" t="n">
        <v>43627</v>
      </c>
      <c r="C119" s="1" t="n">
        <v>45637</v>
      </c>
      <c r="D119" t="inlineStr">
        <is>
          <t>KALMAR LÄN</t>
        </is>
      </c>
      <c r="E119" t="inlineStr">
        <is>
          <t>MÖNSTERÅS</t>
        </is>
      </c>
      <c r="G119" t="n">
        <v>6.3</v>
      </c>
      <c r="H119" t="n">
        <v>0</v>
      </c>
      <c r="I119" t="n">
        <v>0</v>
      </c>
      <c r="J119" t="n">
        <v>0</v>
      </c>
      <c r="K119" t="n">
        <v>0</v>
      </c>
      <c r="L119" t="n">
        <v>0</v>
      </c>
      <c r="M119" t="n">
        <v>0</v>
      </c>
      <c r="N119" t="n">
        <v>0</v>
      </c>
      <c r="O119" t="n">
        <v>0</v>
      </c>
      <c r="P119" t="n">
        <v>0</v>
      </c>
      <c r="Q119" t="n">
        <v>0</v>
      </c>
      <c r="R119" s="2" t="inlineStr"/>
    </row>
    <row r="120" ht="15" customHeight="1">
      <c r="A120" t="inlineStr">
        <is>
          <t>A 28820-2019</t>
        </is>
      </c>
      <c r="B120" s="1" t="n">
        <v>43627</v>
      </c>
      <c r="C120" s="1" t="n">
        <v>45637</v>
      </c>
      <c r="D120" t="inlineStr">
        <is>
          <t>KALMAR LÄN</t>
        </is>
      </c>
      <c r="E120" t="inlineStr">
        <is>
          <t>MÖNSTERÅS</t>
        </is>
      </c>
      <c r="G120" t="n">
        <v>7.7</v>
      </c>
      <c r="H120" t="n">
        <v>0</v>
      </c>
      <c r="I120" t="n">
        <v>0</v>
      </c>
      <c r="J120" t="n">
        <v>0</v>
      </c>
      <c r="K120" t="n">
        <v>0</v>
      </c>
      <c r="L120" t="n">
        <v>0</v>
      </c>
      <c r="M120" t="n">
        <v>0</v>
      </c>
      <c r="N120" t="n">
        <v>0</v>
      </c>
      <c r="O120" t="n">
        <v>0</v>
      </c>
      <c r="P120" t="n">
        <v>0</v>
      </c>
      <c r="Q120" t="n">
        <v>0</v>
      </c>
      <c r="R120" s="2" t="inlineStr"/>
    </row>
    <row r="121" ht="15" customHeight="1">
      <c r="A121" t="inlineStr">
        <is>
          <t>A 30342-2019</t>
        </is>
      </c>
      <c r="B121" s="1" t="n">
        <v>43634</v>
      </c>
      <c r="C121" s="1" t="n">
        <v>45637</v>
      </c>
      <c r="D121" t="inlineStr">
        <is>
          <t>KALMAR LÄN</t>
        </is>
      </c>
      <c r="E121" t="inlineStr">
        <is>
          <t>MÖNSTERÅS</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30340-2019</t>
        </is>
      </c>
      <c r="B122" s="1" t="n">
        <v>43634</v>
      </c>
      <c r="C122" s="1" t="n">
        <v>45637</v>
      </c>
      <c r="D122" t="inlineStr">
        <is>
          <t>KALMAR LÄN</t>
        </is>
      </c>
      <c r="E122" t="inlineStr">
        <is>
          <t>MÖNSTERÅS</t>
        </is>
      </c>
      <c r="G122" t="n">
        <v>8.6</v>
      </c>
      <c r="H122" t="n">
        <v>0</v>
      </c>
      <c r="I122" t="n">
        <v>0</v>
      </c>
      <c r="J122" t="n">
        <v>0</v>
      </c>
      <c r="K122" t="n">
        <v>0</v>
      </c>
      <c r="L122" t="n">
        <v>0</v>
      </c>
      <c r="M122" t="n">
        <v>0</v>
      </c>
      <c r="N122" t="n">
        <v>0</v>
      </c>
      <c r="O122" t="n">
        <v>0</v>
      </c>
      <c r="P122" t="n">
        <v>0</v>
      </c>
      <c r="Q122" t="n">
        <v>0</v>
      </c>
      <c r="R122" s="2" t="inlineStr"/>
    </row>
    <row r="123" ht="15" customHeight="1">
      <c r="A123" t="inlineStr">
        <is>
          <t>A 31141-2019</t>
        </is>
      </c>
      <c r="B123" s="1" t="n">
        <v>43640</v>
      </c>
      <c r="C123" s="1" t="n">
        <v>45637</v>
      </c>
      <c r="D123" t="inlineStr">
        <is>
          <t>KALMAR LÄN</t>
        </is>
      </c>
      <c r="E123" t="inlineStr">
        <is>
          <t>MÖNSTERÅS</t>
        </is>
      </c>
      <c r="G123" t="n">
        <v>3.4</v>
      </c>
      <c r="H123" t="n">
        <v>0</v>
      </c>
      <c r="I123" t="n">
        <v>0</v>
      </c>
      <c r="J123" t="n">
        <v>0</v>
      </c>
      <c r="K123" t="n">
        <v>0</v>
      </c>
      <c r="L123" t="n">
        <v>0</v>
      </c>
      <c r="M123" t="n">
        <v>0</v>
      </c>
      <c r="N123" t="n">
        <v>0</v>
      </c>
      <c r="O123" t="n">
        <v>0</v>
      </c>
      <c r="P123" t="n">
        <v>0</v>
      </c>
      <c r="Q123" t="n">
        <v>0</v>
      </c>
      <c r="R123" s="2" t="inlineStr"/>
    </row>
    <row r="124" ht="15" customHeight="1">
      <c r="A124" t="inlineStr">
        <is>
          <t>A 34727-2019</t>
        </is>
      </c>
      <c r="B124" s="1" t="n">
        <v>43648</v>
      </c>
      <c r="C124" s="1" t="n">
        <v>45637</v>
      </c>
      <c r="D124" t="inlineStr">
        <is>
          <t>KALMAR LÄN</t>
        </is>
      </c>
      <c r="E124" t="inlineStr">
        <is>
          <t>MÖNSTERÅS</t>
        </is>
      </c>
      <c r="G124" t="n">
        <v>1.5</v>
      </c>
      <c r="H124" t="n">
        <v>0</v>
      </c>
      <c r="I124" t="n">
        <v>0</v>
      </c>
      <c r="J124" t="n">
        <v>0</v>
      </c>
      <c r="K124" t="n">
        <v>0</v>
      </c>
      <c r="L124" t="n">
        <v>0</v>
      </c>
      <c r="M124" t="n">
        <v>0</v>
      </c>
      <c r="N124" t="n">
        <v>0</v>
      </c>
      <c r="O124" t="n">
        <v>0</v>
      </c>
      <c r="P124" t="n">
        <v>0</v>
      </c>
      <c r="Q124" t="n">
        <v>0</v>
      </c>
      <c r="R124" s="2" t="inlineStr"/>
    </row>
    <row r="125" ht="15" customHeight="1">
      <c r="A125" t="inlineStr">
        <is>
          <t>A 35627-2019</t>
        </is>
      </c>
      <c r="B125" s="1" t="n">
        <v>43655</v>
      </c>
      <c r="C125" s="1" t="n">
        <v>45637</v>
      </c>
      <c r="D125" t="inlineStr">
        <is>
          <t>KALMAR LÄN</t>
        </is>
      </c>
      <c r="E125" t="inlineStr">
        <is>
          <t>MÖNSTERÅS</t>
        </is>
      </c>
      <c r="F125" t="inlineStr">
        <is>
          <t>Övriga Aktiebolag</t>
        </is>
      </c>
      <c r="G125" t="n">
        <v>0.8</v>
      </c>
      <c r="H125" t="n">
        <v>0</v>
      </c>
      <c r="I125" t="n">
        <v>0</v>
      </c>
      <c r="J125" t="n">
        <v>0</v>
      </c>
      <c r="K125" t="n">
        <v>0</v>
      </c>
      <c r="L125" t="n">
        <v>0</v>
      </c>
      <c r="M125" t="n">
        <v>0</v>
      </c>
      <c r="N125" t="n">
        <v>0</v>
      </c>
      <c r="O125" t="n">
        <v>0</v>
      </c>
      <c r="P125" t="n">
        <v>0</v>
      </c>
      <c r="Q125" t="n">
        <v>0</v>
      </c>
      <c r="R125" s="2" t="inlineStr"/>
    </row>
    <row r="126" ht="15" customHeight="1">
      <c r="A126" t="inlineStr">
        <is>
          <t>A 35596-2019</t>
        </is>
      </c>
      <c r="B126" s="1" t="n">
        <v>43655</v>
      </c>
      <c r="C126" s="1" t="n">
        <v>45637</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35602-2019</t>
        </is>
      </c>
      <c r="B127" s="1" t="n">
        <v>43655</v>
      </c>
      <c r="C127" s="1" t="n">
        <v>45637</v>
      </c>
      <c r="D127" t="inlineStr">
        <is>
          <t>KALMAR LÄN</t>
        </is>
      </c>
      <c r="E127" t="inlineStr">
        <is>
          <t>MÖNSTERÅS</t>
        </is>
      </c>
      <c r="F127" t="inlineStr">
        <is>
          <t>Övriga Aktiebolag</t>
        </is>
      </c>
      <c r="G127" t="n">
        <v>2.8</v>
      </c>
      <c r="H127" t="n">
        <v>0</v>
      </c>
      <c r="I127" t="n">
        <v>0</v>
      </c>
      <c r="J127" t="n">
        <v>0</v>
      </c>
      <c r="K127" t="n">
        <v>0</v>
      </c>
      <c r="L127" t="n">
        <v>0</v>
      </c>
      <c r="M127" t="n">
        <v>0</v>
      </c>
      <c r="N127" t="n">
        <v>0</v>
      </c>
      <c r="O127" t="n">
        <v>0</v>
      </c>
      <c r="P127" t="n">
        <v>0</v>
      </c>
      <c r="Q127" t="n">
        <v>0</v>
      </c>
      <c r="R127" s="2" t="inlineStr"/>
    </row>
    <row r="128" ht="15" customHeight="1">
      <c r="A128" t="inlineStr">
        <is>
          <t>A 35645-2019</t>
        </is>
      </c>
      <c r="B128" s="1" t="n">
        <v>43655</v>
      </c>
      <c r="C128" s="1" t="n">
        <v>45637</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35637-2019</t>
        </is>
      </c>
      <c r="B129" s="1" t="n">
        <v>43655</v>
      </c>
      <c r="C129" s="1" t="n">
        <v>45637</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38055-2019</t>
        </is>
      </c>
      <c r="B130" s="1" t="n">
        <v>43683</v>
      </c>
      <c r="C130" s="1" t="n">
        <v>45637</v>
      </c>
      <c r="D130" t="inlineStr">
        <is>
          <t>KALMAR LÄN</t>
        </is>
      </c>
      <c r="E130" t="inlineStr">
        <is>
          <t>MÖNSTERÅS</t>
        </is>
      </c>
      <c r="G130" t="n">
        <v>2.2</v>
      </c>
      <c r="H130" t="n">
        <v>0</v>
      </c>
      <c r="I130" t="n">
        <v>0</v>
      </c>
      <c r="J130" t="n">
        <v>0</v>
      </c>
      <c r="K130" t="n">
        <v>0</v>
      </c>
      <c r="L130" t="n">
        <v>0</v>
      </c>
      <c r="M130" t="n">
        <v>0</v>
      </c>
      <c r="N130" t="n">
        <v>0</v>
      </c>
      <c r="O130" t="n">
        <v>0</v>
      </c>
      <c r="P130" t="n">
        <v>0</v>
      </c>
      <c r="Q130" t="n">
        <v>0</v>
      </c>
      <c r="R130" s="2" t="inlineStr"/>
    </row>
    <row r="131" ht="15" customHeight="1">
      <c r="A131" t="inlineStr">
        <is>
          <t>A 38062-2019</t>
        </is>
      </c>
      <c r="B131" s="1" t="n">
        <v>43683</v>
      </c>
      <c r="C131" s="1" t="n">
        <v>45637</v>
      </c>
      <c r="D131" t="inlineStr">
        <is>
          <t>KALMAR LÄN</t>
        </is>
      </c>
      <c r="E131" t="inlineStr">
        <is>
          <t>MÖNSTERÅS</t>
        </is>
      </c>
      <c r="G131" t="n">
        <v>11.2</v>
      </c>
      <c r="H131" t="n">
        <v>0</v>
      </c>
      <c r="I131" t="n">
        <v>0</v>
      </c>
      <c r="J131" t="n">
        <v>0</v>
      </c>
      <c r="K131" t="n">
        <v>0</v>
      </c>
      <c r="L131" t="n">
        <v>0</v>
      </c>
      <c r="M131" t="n">
        <v>0</v>
      </c>
      <c r="N131" t="n">
        <v>0</v>
      </c>
      <c r="O131" t="n">
        <v>0</v>
      </c>
      <c r="P131" t="n">
        <v>0</v>
      </c>
      <c r="Q131" t="n">
        <v>0</v>
      </c>
      <c r="R131" s="2" t="inlineStr"/>
    </row>
    <row r="132" ht="15" customHeight="1">
      <c r="A132" t="inlineStr">
        <is>
          <t>A 38377-2019</t>
        </is>
      </c>
      <c r="B132" s="1" t="n">
        <v>43683</v>
      </c>
      <c r="C132" s="1" t="n">
        <v>45637</v>
      </c>
      <c r="D132" t="inlineStr">
        <is>
          <t>KALMAR LÄN</t>
        </is>
      </c>
      <c r="E132" t="inlineStr">
        <is>
          <t>MÖNSTERÅS</t>
        </is>
      </c>
      <c r="G132" t="n">
        <v>3.3</v>
      </c>
      <c r="H132" t="n">
        <v>0</v>
      </c>
      <c r="I132" t="n">
        <v>0</v>
      </c>
      <c r="J132" t="n">
        <v>0</v>
      </c>
      <c r="K132" t="n">
        <v>0</v>
      </c>
      <c r="L132" t="n">
        <v>0</v>
      </c>
      <c r="M132" t="n">
        <v>0</v>
      </c>
      <c r="N132" t="n">
        <v>0</v>
      </c>
      <c r="O132" t="n">
        <v>0</v>
      </c>
      <c r="P132" t="n">
        <v>0</v>
      </c>
      <c r="Q132" t="n">
        <v>0</v>
      </c>
      <c r="R132" s="2" t="inlineStr"/>
    </row>
    <row r="133" ht="15" customHeight="1">
      <c r="A133" t="inlineStr">
        <is>
          <t>A 38057-2019</t>
        </is>
      </c>
      <c r="B133" s="1" t="n">
        <v>43683</v>
      </c>
      <c r="C133" s="1" t="n">
        <v>45637</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38059-2019</t>
        </is>
      </c>
      <c r="B134" s="1" t="n">
        <v>43683</v>
      </c>
      <c r="C134" s="1" t="n">
        <v>45637</v>
      </c>
      <c r="D134" t="inlineStr">
        <is>
          <t>KALMAR LÄN</t>
        </is>
      </c>
      <c r="E134" t="inlineStr">
        <is>
          <t>MÖNSTERÅS</t>
        </is>
      </c>
      <c r="G134" t="n">
        <v>1.6</v>
      </c>
      <c r="H134" t="n">
        <v>0</v>
      </c>
      <c r="I134" t="n">
        <v>0</v>
      </c>
      <c r="J134" t="n">
        <v>0</v>
      </c>
      <c r="K134" t="n">
        <v>0</v>
      </c>
      <c r="L134" t="n">
        <v>0</v>
      </c>
      <c r="M134" t="n">
        <v>0</v>
      </c>
      <c r="N134" t="n">
        <v>0</v>
      </c>
      <c r="O134" t="n">
        <v>0</v>
      </c>
      <c r="P134" t="n">
        <v>0</v>
      </c>
      <c r="Q134" t="n">
        <v>0</v>
      </c>
      <c r="R134" s="2" t="inlineStr"/>
    </row>
    <row r="135" ht="15" customHeight="1">
      <c r="A135" t="inlineStr">
        <is>
          <t>A 38339-2019</t>
        </is>
      </c>
      <c r="B135" s="1" t="n">
        <v>43685</v>
      </c>
      <c r="C135" s="1" t="n">
        <v>45637</v>
      </c>
      <c r="D135" t="inlineStr">
        <is>
          <t>KALMAR LÄN</t>
        </is>
      </c>
      <c r="E135" t="inlineStr">
        <is>
          <t>MÖNSTERÅS</t>
        </is>
      </c>
      <c r="G135" t="n">
        <v>3.2</v>
      </c>
      <c r="H135" t="n">
        <v>0</v>
      </c>
      <c r="I135" t="n">
        <v>0</v>
      </c>
      <c r="J135" t="n">
        <v>0</v>
      </c>
      <c r="K135" t="n">
        <v>0</v>
      </c>
      <c r="L135" t="n">
        <v>0</v>
      </c>
      <c r="M135" t="n">
        <v>0</v>
      </c>
      <c r="N135" t="n">
        <v>0</v>
      </c>
      <c r="O135" t="n">
        <v>0</v>
      </c>
      <c r="P135" t="n">
        <v>0</v>
      </c>
      <c r="Q135" t="n">
        <v>0</v>
      </c>
      <c r="R135" s="2" t="inlineStr"/>
    </row>
    <row r="136" ht="15" customHeight="1">
      <c r="A136" t="inlineStr">
        <is>
          <t>A 38935-2019</t>
        </is>
      </c>
      <c r="B136" s="1" t="n">
        <v>43689</v>
      </c>
      <c r="C136" s="1" t="n">
        <v>45637</v>
      </c>
      <c r="D136" t="inlineStr">
        <is>
          <t>KALMAR LÄN</t>
        </is>
      </c>
      <c r="E136" t="inlineStr">
        <is>
          <t>MÖNSTERÅS</t>
        </is>
      </c>
      <c r="G136" t="n">
        <v>11.3</v>
      </c>
      <c r="H136" t="n">
        <v>0</v>
      </c>
      <c r="I136" t="n">
        <v>0</v>
      </c>
      <c r="J136" t="n">
        <v>0</v>
      </c>
      <c r="K136" t="n">
        <v>0</v>
      </c>
      <c r="L136" t="n">
        <v>0</v>
      </c>
      <c r="M136" t="n">
        <v>0</v>
      </c>
      <c r="N136" t="n">
        <v>0</v>
      </c>
      <c r="O136" t="n">
        <v>0</v>
      </c>
      <c r="P136" t="n">
        <v>0</v>
      </c>
      <c r="Q136" t="n">
        <v>0</v>
      </c>
      <c r="R136" s="2" t="inlineStr"/>
    </row>
    <row r="137" ht="15" customHeight="1">
      <c r="A137" t="inlineStr">
        <is>
          <t>A 39153-2019</t>
        </is>
      </c>
      <c r="B137" s="1" t="n">
        <v>43690</v>
      </c>
      <c r="C137" s="1" t="n">
        <v>45637</v>
      </c>
      <c r="D137" t="inlineStr">
        <is>
          <t>KALMAR LÄN</t>
        </is>
      </c>
      <c r="E137" t="inlineStr">
        <is>
          <t>MÖNSTERÅS</t>
        </is>
      </c>
      <c r="G137" t="n">
        <v>1</v>
      </c>
      <c r="H137" t="n">
        <v>0</v>
      </c>
      <c r="I137" t="n">
        <v>0</v>
      </c>
      <c r="J137" t="n">
        <v>0</v>
      </c>
      <c r="K137" t="n">
        <v>0</v>
      </c>
      <c r="L137" t="n">
        <v>0</v>
      </c>
      <c r="M137" t="n">
        <v>0</v>
      </c>
      <c r="N137" t="n">
        <v>0</v>
      </c>
      <c r="O137" t="n">
        <v>0</v>
      </c>
      <c r="P137" t="n">
        <v>0</v>
      </c>
      <c r="Q137" t="n">
        <v>0</v>
      </c>
      <c r="R137" s="2" t="inlineStr"/>
    </row>
    <row r="138" ht="15" customHeight="1">
      <c r="A138" t="inlineStr">
        <is>
          <t>A 39614-2019</t>
        </is>
      </c>
      <c r="B138" s="1" t="n">
        <v>43691</v>
      </c>
      <c r="C138" s="1" t="n">
        <v>45637</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39617-2019</t>
        </is>
      </c>
      <c r="B139" s="1" t="n">
        <v>43691</v>
      </c>
      <c r="C139" s="1" t="n">
        <v>45637</v>
      </c>
      <c r="D139" t="inlineStr">
        <is>
          <t>KALMAR LÄN</t>
        </is>
      </c>
      <c r="E139" t="inlineStr">
        <is>
          <t>MÖNSTERÅS</t>
        </is>
      </c>
      <c r="G139" t="n">
        <v>1.2</v>
      </c>
      <c r="H139" t="n">
        <v>0</v>
      </c>
      <c r="I139" t="n">
        <v>0</v>
      </c>
      <c r="J139" t="n">
        <v>0</v>
      </c>
      <c r="K139" t="n">
        <v>0</v>
      </c>
      <c r="L139" t="n">
        <v>0</v>
      </c>
      <c r="M139" t="n">
        <v>0</v>
      </c>
      <c r="N139" t="n">
        <v>0</v>
      </c>
      <c r="O139" t="n">
        <v>0</v>
      </c>
      <c r="P139" t="n">
        <v>0</v>
      </c>
      <c r="Q139" t="n">
        <v>0</v>
      </c>
      <c r="R139" s="2" t="inlineStr"/>
    </row>
    <row r="140" ht="15" customHeight="1">
      <c r="A140" t="inlineStr">
        <is>
          <t>A 39622-2019</t>
        </is>
      </c>
      <c r="B140" s="1" t="n">
        <v>43691</v>
      </c>
      <c r="C140" s="1" t="n">
        <v>45637</v>
      </c>
      <c r="D140" t="inlineStr">
        <is>
          <t>KALMAR LÄN</t>
        </is>
      </c>
      <c r="E140" t="inlineStr">
        <is>
          <t>MÖNSTERÅS</t>
        </is>
      </c>
      <c r="G140" t="n">
        <v>3.6</v>
      </c>
      <c r="H140" t="n">
        <v>0</v>
      </c>
      <c r="I140" t="n">
        <v>0</v>
      </c>
      <c r="J140" t="n">
        <v>0</v>
      </c>
      <c r="K140" t="n">
        <v>0</v>
      </c>
      <c r="L140" t="n">
        <v>0</v>
      </c>
      <c r="M140" t="n">
        <v>0</v>
      </c>
      <c r="N140" t="n">
        <v>0</v>
      </c>
      <c r="O140" t="n">
        <v>0</v>
      </c>
      <c r="P140" t="n">
        <v>0</v>
      </c>
      <c r="Q140" t="n">
        <v>0</v>
      </c>
      <c r="R140" s="2" t="inlineStr"/>
    </row>
    <row r="141" ht="15" customHeight="1">
      <c r="A141" t="inlineStr">
        <is>
          <t>A 39887-2019</t>
        </is>
      </c>
      <c r="B141" s="1" t="n">
        <v>43692</v>
      </c>
      <c r="C141" s="1" t="n">
        <v>45637</v>
      </c>
      <c r="D141" t="inlineStr">
        <is>
          <t>KALMAR LÄN</t>
        </is>
      </c>
      <c r="E141" t="inlineStr">
        <is>
          <t>MÖNSTERÅS</t>
        </is>
      </c>
      <c r="G141" t="n">
        <v>8.9</v>
      </c>
      <c r="H141" t="n">
        <v>0</v>
      </c>
      <c r="I141" t="n">
        <v>0</v>
      </c>
      <c r="J141" t="n">
        <v>0</v>
      </c>
      <c r="K141" t="n">
        <v>0</v>
      </c>
      <c r="L141" t="n">
        <v>0</v>
      </c>
      <c r="M141" t="n">
        <v>0</v>
      </c>
      <c r="N141" t="n">
        <v>0</v>
      </c>
      <c r="O141" t="n">
        <v>0</v>
      </c>
      <c r="P141" t="n">
        <v>0</v>
      </c>
      <c r="Q141" t="n">
        <v>0</v>
      </c>
      <c r="R141" s="2" t="inlineStr"/>
    </row>
    <row r="142" ht="15" customHeight="1">
      <c r="A142" t="inlineStr">
        <is>
          <t>A 39928-2019</t>
        </is>
      </c>
      <c r="B142" s="1" t="n">
        <v>43692</v>
      </c>
      <c r="C142" s="1" t="n">
        <v>45637</v>
      </c>
      <c r="D142" t="inlineStr">
        <is>
          <t>KALMAR LÄN</t>
        </is>
      </c>
      <c r="E142" t="inlineStr">
        <is>
          <t>MÖNSTERÅS</t>
        </is>
      </c>
      <c r="G142" t="n">
        <v>1.1</v>
      </c>
      <c r="H142" t="n">
        <v>0</v>
      </c>
      <c r="I142" t="n">
        <v>0</v>
      </c>
      <c r="J142" t="n">
        <v>0</v>
      </c>
      <c r="K142" t="n">
        <v>0</v>
      </c>
      <c r="L142" t="n">
        <v>0</v>
      </c>
      <c r="M142" t="n">
        <v>0</v>
      </c>
      <c r="N142" t="n">
        <v>0</v>
      </c>
      <c r="O142" t="n">
        <v>0</v>
      </c>
      <c r="P142" t="n">
        <v>0</v>
      </c>
      <c r="Q142" t="n">
        <v>0</v>
      </c>
      <c r="R142" s="2" t="inlineStr"/>
    </row>
    <row r="143" ht="15" customHeight="1">
      <c r="A143" t="inlineStr">
        <is>
          <t>A 39890-2019</t>
        </is>
      </c>
      <c r="B143" s="1" t="n">
        <v>43692</v>
      </c>
      <c r="C143" s="1" t="n">
        <v>45637</v>
      </c>
      <c r="D143" t="inlineStr">
        <is>
          <t>KALMAR LÄN</t>
        </is>
      </c>
      <c r="E143" t="inlineStr">
        <is>
          <t>MÖNSTERÅS</t>
        </is>
      </c>
      <c r="G143" t="n">
        <v>1.3</v>
      </c>
      <c r="H143" t="n">
        <v>0</v>
      </c>
      <c r="I143" t="n">
        <v>0</v>
      </c>
      <c r="J143" t="n">
        <v>0</v>
      </c>
      <c r="K143" t="n">
        <v>0</v>
      </c>
      <c r="L143" t="n">
        <v>0</v>
      </c>
      <c r="M143" t="n">
        <v>0</v>
      </c>
      <c r="N143" t="n">
        <v>0</v>
      </c>
      <c r="O143" t="n">
        <v>0</v>
      </c>
      <c r="P143" t="n">
        <v>0</v>
      </c>
      <c r="Q143" t="n">
        <v>0</v>
      </c>
      <c r="R143" s="2" t="inlineStr"/>
    </row>
    <row r="144" ht="15" customHeight="1">
      <c r="A144" t="inlineStr">
        <is>
          <t>A 40189-2019</t>
        </is>
      </c>
      <c r="B144" s="1" t="n">
        <v>43693</v>
      </c>
      <c r="C144" s="1" t="n">
        <v>45637</v>
      </c>
      <c r="D144" t="inlineStr">
        <is>
          <t>KALMAR LÄN</t>
        </is>
      </c>
      <c r="E144" t="inlineStr">
        <is>
          <t>MÖNSTERÅS</t>
        </is>
      </c>
      <c r="G144" t="n">
        <v>1.8</v>
      </c>
      <c r="H144" t="n">
        <v>0</v>
      </c>
      <c r="I144" t="n">
        <v>0</v>
      </c>
      <c r="J144" t="n">
        <v>0</v>
      </c>
      <c r="K144" t="n">
        <v>0</v>
      </c>
      <c r="L144" t="n">
        <v>0</v>
      </c>
      <c r="M144" t="n">
        <v>0</v>
      </c>
      <c r="N144" t="n">
        <v>0</v>
      </c>
      <c r="O144" t="n">
        <v>0</v>
      </c>
      <c r="P144" t="n">
        <v>0</v>
      </c>
      <c r="Q144" t="n">
        <v>0</v>
      </c>
      <c r="R144" s="2" t="inlineStr"/>
    </row>
    <row r="145" ht="15" customHeight="1">
      <c r="A145" t="inlineStr">
        <is>
          <t>A 40866-2019</t>
        </is>
      </c>
      <c r="B145" s="1" t="n">
        <v>43693</v>
      </c>
      <c r="C145" s="1" t="n">
        <v>45637</v>
      </c>
      <c r="D145" t="inlineStr">
        <is>
          <t>KALMAR LÄN</t>
        </is>
      </c>
      <c r="E145" t="inlineStr">
        <is>
          <t>MÖNSTERÅS</t>
        </is>
      </c>
      <c r="G145" t="n">
        <v>3.8</v>
      </c>
      <c r="H145" t="n">
        <v>0</v>
      </c>
      <c r="I145" t="n">
        <v>0</v>
      </c>
      <c r="J145" t="n">
        <v>0</v>
      </c>
      <c r="K145" t="n">
        <v>0</v>
      </c>
      <c r="L145" t="n">
        <v>0</v>
      </c>
      <c r="M145" t="n">
        <v>0</v>
      </c>
      <c r="N145" t="n">
        <v>0</v>
      </c>
      <c r="O145" t="n">
        <v>0</v>
      </c>
      <c r="P145" t="n">
        <v>0</v>
      </c>
      <c r="Q145" t="n">
        <v>0</v>
      </c>
      <c r="R145" s="2" t="inlineStr"/>
    </row>
    <row r="146" ht="15" customHeight="1">
      <c r="A146" t="inlineStr">
        <is>
          <t>A 40414-2019</t>
        </is>
      </c>
      <c r="B146" s="1" t="n">
        <v>43696</v>
      </c>
      <c r="C146" s="1" t="n">
        <v>45637</v>
      </c>
      <c r="D146" t="inlineStr">
        <is>
          <t>KALMAR LÄN</t>
        </is>
      </c>
      <c r="E146" t="inlineStr">
        <is>
          <t>MÖNSTERÅS</t>
        </is>
      </c>
      <c r="G146" t="n">
        <v>2.1</v>
      </c>
      <c r="H146" t="n">
        <v>0</v>
      </c>
      <c r="I146" t="n">
        <v>0</v>
      </c>
      <c r="J146" t="n">
        <v>0</v>
      </c>
      <c r="K146" t="n">
        <v>0</v>
      </c>
      <c r="L146" t="n">
        <v>0</v>
      </c>
      <c r="M146" t="n">
        <v>0</v>
      </c>
      <c r="N146" t="n">
        <v>0</v>
      </c>
      <c r="O146" t="n">
        <v>0</v>
      </c>
      <c r="P146" t="n">
        <v>0</v>
      </c>
      <c r="Q146" t="n">
        <v>0</v>
      </c>
      <c r="R146" s="2" t="inlineStr"/>
    </row>
    <row r="147" ht="15" customHeight="1">
      <c r="A147" t="inlineStr">
        <is>
          <t>A 41604-2019</t>
        </is>
      </c>
      <c r="B147" s="1" t="n">
        <v>43699</v>
      </c>
      <c r="C147" s="1" t="n">
        <v>45637</v>
      </c>
      <c r="D147" t="inlineStr">
        <is>
          <t>KALMAR LÄN</t>
        </is>
      </c>
      <c r="E147" t="inlineStr">
        <is>
          <t>MÖNSTERÅS</t>
        </is>
      </c>
      <c r="G147" t="n">
        <v>5.9</v>
      </c>
      <c r="H147" t="n">
        <v>0</v>
      </c>
      <c r="I147" t="n">
        <v>0</v>
      </c>
      <c r="J147" t="n">
        <v>0</v>
      </c>
      <c r="K147" t="n">
        <v>0</v>
      </c>
      <c r="L147" t="n">
        <v>0</v>
      </c>
      <c r="M147" t="n">
        <v>0</v>
      </c>
      <c r="N147" t="n">
        <v>0</v>
      </c>
      <c r="O147" t="n">
        <v>0</v>
      </c>
      <c r="P147" t="n">
        <v>0</v>
      </c>
      <c r="Q147" t="n">
        <v>0</v>
      </c>
      <c r="R147" s="2" t="inlineStr"/>
    </row>
    <row r="148" ht="15" customHeight="1">
      <c r="A148" t="inlineStr">
        <is>
          <t>A 41625-2019</t>
        </is>
      </c>
      <c r="B148" s="1" t="n">
        <v>43699</v>
      </c>
      <c r="C148" s="1" t="n">
        <v>45637</v>
      </c>
      <c r="D148" t="inlineStr">
        <is>
          <t>KALMAR LÄN</t>
        </is>
      </c>
      <c r="E148" t="inlineStr">
        <is>
          <t>MÖNSTERÅS</t>
        </is>
      </c>
      <c r="G148" t="n">
        <v>1.5</v>
      </c>
      <c r="H148" t="n">
        <v>0</v>
      </c>
      <c r="I148" t="n">
        <v>0</v>
      </c>
      <c r="J148" t="n">
        <v>0</v>
      </c>
      <c r="K148" t="n">
        <v>0</v>
      </c>
      <c r="L148" t="n">
        <v>0</v>
      </c>
      <c r="M148" t="n">
        <v>0</v>
      </c>
      <c r="N148" t="n">
        <v>0</v>
      </c>
      <c r="O148" t="n">
        <v>0</v>
      </c>
      <c r="P148" t="n">
        <v>0</v>
      </c>
      <c r="Q148" t="n">
        <v>0</v>
      </c>
      <c r="R148" s="2" t="inlineStr"/>
    </row>
    <row r="149" ht="15" customHeight="1">
      <c r="A149" t="inlineStr">
        <is>
          <t>A 41971-2019</t>
        </is>
      </c>
      <c r="B149" s="1" t="n">
        <v>43700</v>
      </c>
      <c r="C149" s="1" t="n">
        <v>45637</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42008-2019</t>
        </is>
      </c>
      <c r="B150" s="1" t="n">
        <v>43700</v>
      </c>
      <c r="C150" s="1" t="n">
        <v>45637</v>
      </c>
      <c r="D150" t="inlineStr">
        <is>
          <t>KALMAR LÄN</t>
        </is>
      </c>
      <c r="E150" t="inlineStr">
        <is>
          <t>MÖNSTERÅS</t>
        </is>
      </c>
      <c r="G150" t="n">
        <v>19.3</v>
      </c>
      <c r="H150" t="n">
        <v>0</v>
      </c>
      <c r="I150" t="n">
        <v>0</v>
      </c>
      <c r="J150" t="n">
        <v>0</v>
      </c>
      <c r="K150" t="n">
        <v>0</v>
      </c>
      <c r="L150" t="n">
        <v>0</v>
      </c>
      <c r="M150" t="n">
        <v>0</v>
      </c>
      <c r="N150" t="n">
        <v>0</v>
      </c>
      <c r="O150" t="n">
        <v>0</v>
      </c>
      <c r="P150" t="n">
        <v>0</v>
      </c>
      <c r="Q150" t="n">
        <v>0</v>
      </c>
      <c r="R150" s="2" t="inlineStr"/>
    </row>
    <row r="151" ht="15" customHeight="1">
      <c r="A151" t="inlineStr">
        <is>
          <t>A 41990-2019</t>
        </is>
      </c>
      <c r="B151" s="1" t="n">
        <v>43700</v>
      </c>
      <c r="C151" s="1" t="n">
        <v>45637</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42184-2019</t>
        </is>
      </c>
      <c r="B152" s="1" t="n">
        <v>43703</v>
      </c>
      <c r="C152" s="1" t="n">
        <v>45637</v>
      </c>
      <c r="D152" t="inlineStr">
        <is>
          <t>KALMAR LÄN</t>
        </is>
      </c>
      <c r="E152" t="inlineStr">
        <is>
          <t>MÖNSTERÅS</t>
        </is>
      </c>
      <c r="G152" t="n">
        <v>1.7</v>
      </c>
      <c r="H152" t="n">
        <v>0</v>
      </c>
      <c r="I152" t="n">
        <v>0</v>
      </c>
      <c r="J152" t="n">
        <v>0</v>
      </c>
      <c r="K152" t="n">
        <v>0</v>
      </c>
      <c r="L152" t="n">
        <v>0</v>
      </c>
      <c r="M152" t="n">
        <v>0</v>
      </c>
      <c r="N152" t="n">
        <v>0</v>
      </c>
      <c r="O152" t="n">
        <v>0</v>
      </c>
      <c r="P152" t="n">
        <v>0</v>
      </c>
      <c r="Q152" t="n">
        <v>0</v>
      </c>
      <c r="R152" s="2" t="inlineStr"/>
    </row>
    <row r="153" ht="15" customHeight="1">
      <c r="A153" t="inlineStr">
        <is>
          <t>A 42180-2019</t>
        </is>
      </c>
      <c r="B153" s="1" t="n">
        <v>43703</v>
      </c>
      <c r="C153" s="1" t="n">
        <v>45637</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42679-2019</t>
        </is>
      </c>
      <c r="B154" s="1" t="n">
        <v>43704</v>
      </c>
      <c r="C154" s="1" t="n">
        <v>45637</v>
      </c>
      <c r="D154" t="inlineStr">
        <is>
          <t>KALMAR LÄN</t>
        </is>
      </c>
      <c r="E154" t="inlineStr">
        <is>
          <t>MÖNSTERÅS</t>
        </is>
      </c>
      <c r="G154" t="n">
        <v>6.5</v>
      </c>
      <c r="H154" t="n">
        <v>0</v>
      </c>
      <c r="I154" t="n">
        <v>0</v>
      </c>
      <c r="J154" t="n">
        <v>0</v>
      </c>
      <c r="K154" t="n">
        <v>0</v>
      </c>
      <c r="L154" t="n">
        <v>0</v>
      </c>
      <c r="M154" t="n">
        <v>0</v>
      </c>
      <c r="N154" t="n">
        <v>0</v>
      </c>
      <c r="O154" t="n">
        <v>0</v>
      </c>
      <c r="P154" t="n">
        <v>0</v>
      </c>
      <c r="Q154" t="n">
        <v>0</v>
      </c>
      <c r="R154" s="2" t="inlineStr"/>
    </row>
    <row r="155" ht="15" customHeight="1">
      <c r="A155" t="inlineStr">
        <is>
          <t>A 42587-2019</t>
        </is>
      </c>
      <c r="B155" s="1" t="n">
        <v>43704</v>
      </c>
      <c r="C155" s="1" t="n">
        <v>45637</v>
      </c>
      <c r="D155" t="inlineStr">
        <is>
          <t>KALMAR LÄN</t>
        </is>
      </c>
      <c r="E155" t="inlineStr">
        <is>
          <t>MÖNSTERÅS</t>
        </is>
      </c>
      <c r="G155" t="n">
        <v>6.4</v>
      </c>
      <c r="H155" t="n">
        <v>0</v>
      </c>
      <c r="I155" t="n">
        <v>0</v>
      </c>
      <c r="J155" t="n">
        <v>0</v>
      </c>
      <c r="K155" t="n">
        <v>0</v>
      </c>
      <c r="L155" t="n">
        <v>0</v>
      </c>
      <c r="M155" t="n">
        <v>0</v>
      </c>
      <c r="N155" t="n">
        <v>0</v>
      </c>
      <c r="O155" t="n">
        <v>0</v>
      </c>
      <c r="P155" t="n">
        <v>0</v>
      </c>
      <c r="Q155" t="n">
        <v>0</v>
      </c>
      <c r="R155" s="2" t="inlineStr"/>
    </row>
    <row r="156" ht="15" customHeight="1">
      <c r="A156" t="inlineStr">
        <is>
          <t>A 43009-2019</t>
        </is>
      </c>
      <c r="B156" s="1" t="n">
        <v>43705</v>
      </c>
      <c r="C156" s="1" t="n">
        <v>45637</v>
      </c>
      <c r="D156" t="inlineStr">
        <is>
          <t>KALMAR LÄN</t>
        </is>
      </c>
      <c r="E156" t="inlineStr">
        <is>
          <t>MÖNSTERÅS</t>
        </is>
      </c>
      <c r="G156" t="n">
        <v>7.7</v>
      </c>
      <c r="H156" t="n">
        <v>0</v>
      </c>
      <c r="I156" t="n">
        <v>0</v>
      </c>
      <c r="J156" t="n">
        <v>0</v>
      </c>
      <c r="K156" t="n">
        <v>0</v>
      </c>
      <c r="L156" t="n">
        <v>0</v>
      </c>
      <c r="M156" t="n">
        <v>0</v>
      </c>
      <c r="N156" t="n">
        <v>0</v>
      </c>
      <c r="O156" t="n">
        <v>0</v>
      </c>
      <c r="P156" t="n">
        <v>0</v>
      </c>
      <c r="Q156" t="n">
        <v>0</v>
      </c>
      <c r="R156" s="2" t="inlineStr"/>
    </row>
    <row r="157" ht="15" customHeight="1">
      <c r="A157" t="inlineStr">
        <is>
          <t>A 42996-2019</t>
        </is>
      </c>
      <c r="B157" s="1" t="n">
        <v>43705</v>
      </c>
      <c r="C157" s="1" t="n">
        <v>45637</v>
      </c>
      <c r="D157" t="inlineStr">
        <is>
          <t>KALMAR LÄN</t>
        </is>
      </c>
      <c r="E157" t="inlineStr">
        <is>
          <t>MÖNSTERÅS</t>
        </is>
      </c>
      <c r="G157" t="n">
        <v>2.8</v>
      </c>
      <c r="H157" t="n">
        <v>0</v>
      </c>
      <c r="I157" t="n">
        <v>0</v>
      </c>
      <c r="J157" t="n">
        <v>0</v>
      </c>
      <c r="K157" t="n">
        <v>0</v>
      </c>
      <c r="L157" t="n">
        <v>0</v>
      </c>
      <c r="M157" t="n">
        <v>0</v>
      </c>
      <c r="N157" t="n">
        <v>0</v>
      </c>
      <c r="O157" t="n">
        <v>0</v>
      </c>
      <c r="P157" t="n">
        <v>0</v>
      </c>
      <c r="Q157" t="n">
        <v>0</v>
      </c>
      <c r="R157" s="2" t="inlineStr"/>
    </row>
    <row r="158" ht="15" customHeight="1">
      <c r="A158" t="inlineStr">
        <is>
          <t>A 43323-2019</t>
        </is>
      </c>
      <c r="B158" s="1" t="n">
        <v>43706</v>
      </c>
      <c r="C158" s="1" t="n">
        <v>45637</v>
      </c>
      <c r="D158" t="inlineStr">
        <is>
          <t>KALMAR LÄN</t>
        </is>
      </c>
      <c r="E158" t="inlineStr">
        <is>
          <t>MÖNSTERÅS</t>
        </is>
      </c>
      <c r="G158" t="n">
        <v>2.6</v>
      </c>
      <c r="H158" t="n">
        <v>0</v>
      </c>
      <c r="I158" t="n">
        <v>0</v>
      </c>
      <c r="J158" t="n">
        <v>0</v>
      </c>
      <c r="K158" t="n">
        <v>0</v>
      </c>
      <c r="L158" t="n">
        <v>0</v>
      </c>
      <c r="M158" t="n">
        <v>0</v>
      </c>
      <c r="N158" t="n">
        <v>0</v>
      </c>
      <c r="O158" t="n">
        <v>0</v>
      </c>
      <c r="P158" t="n">
        <v>0</v>
      </c>
      <c r="Q158" t="n">
        <v>0</v>
      </c>
      <c r="R158" s="2" t="inlineStr"/>
    </row>
    <row r="159" ht="15" customHeight="1">
      <c r="A159" t="inlineStr">
        <is>
          <t>A 43452-2019</t>
        </is>
      </c>
      <c r="B159" s="1" t="n">
        <v>43706</v>
      </c>
      <c r="C159" s="1" t="n">
        <v>45637</v>
      </c>
      <c r="D159" t="inlineStr">
        <is>
          <t>KALMAR LÄN</t>
        </is>
      </c>
      <c r="E159" t="inlineStr">
        <is>
          <t>MÖNSTERÅS</t>
        </is>
      </c>
      <c r="G159" t="n">
        <v>10.3</v>
      </c>
      <c r="H159" t="n">
        <v>0</v>
      </c>
      <c r="I159" t="n">
        <v>0</v>
      </c>
      <c r="J159" t="n">
        <v>0</v>
      </c>
      <c r="K159" t="n">
        <v>0</v>
      </c>
      <c r="L159" t="n">
        <v>0</v>
      </c>
      <c r="M159" t="n">
        <v>0</v>
      </c>
      <c r="N159" t="n">
        <v>0</v>
      </c>
      <c r="O159" t="n">
        <v>0</v>
      </c>
      <c r="P159" t="n">
        <v>0</v>
      </c>
      <c r="Q159" t="n">
        <v>0</v>
      </c>
      <c r="R159" s="2" t="inlineStr"/>
    </row>
    <row r="160" ht="15" customHeight="1">
      <c r="A160" t="inlineStr">
        <is>
          <t>A 43464-2019</t>
        </is>
      </c>
      <c r="B160" s="1" t="n">
        <v>43706</v>
      </c>
      <c r="C160" s="1" t="n">
        <v>45637</v>
      </c>
      <c r="D160" t="inlineStr">
        <is>
          <t>KALMAR LÄN</t>
        </is>
      </c>
      <c r="E160" t="inlineStr">
        <is>
          <t>MÖNSTERÅS</t>
        </is>
      </c>
      <c r="G160" t="n">
        <v>4.9</v>
      </c>
      <c r="H160" t="n">
        <v>0</v>
      </c>
      <c r="I160" t="n">
        <v>0</v>
      </c>
      <c r="J160" t="n">
        <v>0</v>
      </c>
      <c r="K160" t="n">
        <v>0</v>
      </c>
      <c r="L160" t="n">
        <v>0</v>
      </c>
      <c r="M160" t="n">
        <v>0</v>
      </c>
      <c r="N160" t="n">
        <v>0</v>
      </c>
      <c r="O160" t="n">
        <v>0</v>
      </c>
      <c r="P160" t="n">
        <v>0</v>
      </c>
      <c r="Q160" t="n">
        <v>0</v>
      </c>
      <c r="R160" s="2" t="inlineStr"/>
    </row>
    <row r="161" ht="15" customHeight="1">
      <c r="A161" t="inlineStr">
        <is>
          <t>A 45624-2019</t>
        </is>
      </c>
      <c r="B161" s="1" t="n">
        <v>43711</v>
      </c>
      <c r="C161" s="1" t="n">
        <v>45637</v>
      </c>
      <c r="D161" t="inlineStr">
        <is>
          <t>KALMAR LÄN</t>
        </is>
      </c>
      <c r="E161" t="inlineStr">
        <is>
          <t>MÖNSTERÅS</t>
        </is>
      </c>
      <c r="G161" t="n">
        <v>1.9</v>
      </c>
      <c r="H161" t="n">
        <v>0</v>
      </c>
      <c r="I161" t="n">
        <v>0</v>
      </c>
      <c r="J161" t="n">
        <v>0</v>
      </c>
      <c r="K161" t="n">
        <v>0</v>
      </c>
      <c r="L161" t="n">
        <v>0</v>
      </c>
      <c r="M161" t="n">
        <v>0</v>
      </c>
      <c r="N161" t="n">
        <v>0</v>
      </c>
      <c r="O161" t="n">
        <v>0</v>
      </c>
      <c r="P161" t="n">
        <v>0</v>
      </c>
      <c r="Q161" t="n">
        <v>0</v>
      </c>
      <c r="R161" s="2" t="inlineStr"/>
    </row>
    <row r="162" ht="15" customHeight="1">
      <c r="A162" t="inlineStr">
        <is>
          <t>A 45210-2019</t>
        </is>
      </c>
      <c r="B162" s="1" t="n">
        <v>43713</v>
      </c>
      <c r="C162" s="1" t="n">
        <v>45637</v>
      </c>
      <c r="D162" t="inlineStr">
        <is>
          <t>KALMAR LÄN</t>
        </is>
      </c>
      <c r="E162" t="inlineStr">
        <is>
          <t>MÖNSTERÅS</t>
        </is>
      </c>
      <c r="G162" t="n">
        <v>1.6</v>
      </c>
      <c r="H162" t="n">
        <v>0</v>
      </c>
      <c r="I162" t="n">
        <v>0</v>
      </c>
      <c r="J162" t="n">
        <v>0</v>
      </c>
      <c r="K162" t="n">
        <v>0</v>
      </c>
      <c r="L162" t="n">
        <v>0</v>
      </c>
      <c r="M162" t="n">
        <v>0</v>
      </c>
      <c r="N162" t="n">
        <v>0</v>
      </c>
      <c r="O162" t="n">
        <v>0</v>
      </c>
      <c r="P162" t="n">
        <v>0</v>
      </c>
      <c r="Q162" t="n">
        <v>0</v>
      </c>
      <c r="R162" s="2" t="inlineStr"/>
    </row>
    <row r="163" ht="15" customHeight="1">
      <c r="A163" t="inlineStr">
        <is>
          <t>A 45461-2019</t>
        </is>
      </c>
      <c r="B163" s="1" t="n">
        <v>43714</v>
      </c>
      <c r="C163" s="1" t="n">
        <v>45637</v>
      </c>
      <c r="D163" t="inlineStr">
        <is>
          <t>KALMAR LÄN</t>
        </is>
      </c>
      <c r="E163" t="inlineStr">
        <is>
          <t>MÖNSTERÅS</t>
        </is>
      </c>
      <c r="G163" t="n">
        <v>5.2</v>
      </c>
      <c r="H163" t="n">
        <v>0</v>
      </c>
      <c r="I163" t="n">
        <v>0</v>
      </c>
      <c r="J163" t="n">
        <v>0</v>
      </c>
      <c r="K163" t="n">
        <v>0</v>
      </c>
      <c r="L163" t="n">
        <v>0</v>
      </c>
      <c r="M163" t="n">
        <v>0</v>
      </c>
      <c r="N163" t="n">
        <v>0</v>
      </c>
      <c r="O163" t="n">
        <v>0</v>
      </c>
      <c r="P163" t="n">
        <v>0</v>
      </c>
      <c r="Q163" t="n">
        <v>0</v>
      </c>
      <c r="R163" s="2" t="inlineStr"/>
    </row>
    <row r="164" ht="15" customHeight="1">
      <c r="A164" t="inlineStr">
        <is>
          <t>A 45282-2019</t>
        </is>
      </c>
      <c r="B164" s="1" t="n">
        <v>43714</v>
      </c>
      <c r="C164" s="1" t="n">
        <v>45637</v>
      </c>
      <c r="D164" t="inlineStr">
        <is>
          <t>KALMAR LÄN</t>
        </is>
      </c>
      <c r="E164" t="inlineStr">
        <is>
          <t>MÖNSTERÅS</t>
        </is>
      </c>
      <c r="G164" t="n">
        <v>5.3</v>
      </c>
      <c r="H164" t="n">
        <v>0</v>
      </c>
      <c r="I164" t="n">
        <v>0</v>
      </c>
      <c r="J164" t="n">
        <v>0</v>
      </c>
      <c r="K164" t="n">
        <v>0</v>
      </c>
      <c r="L164" t="n">
        <v>0</v>
      </c>
      <c r="M164" t="n">
        <v>0</v>
      </c>
      <c r="N164" t="n">
        <v>0</v>
      </c>
      <c r="O164" t="n">
        <v>0</v>
      </c>
      <c r="P164" t="n">
        <v>0</v>
      </c>
      <c r="Q164" t="n">
        <v>0</v>
      </c>
      <c r="R164" s="2" t="inlineStr"/>
    </row>
    <row r="165" ht="15" customHeight="1">
      <c r="A165" t="inlineStr">
        <is>
          <t>A 46847-2019</t>
        </is>
      </c>
      <c r="B165" s="1" t="n">
        <v>43720</v>
      </c>
      <c r="C165" s="1" t="n">
        <v>45637</v>
      </c>
      <c r="D165" t="inlineStr">
        <is>
          <t>KALMAR LÄN</t>
        </is>
      </c>
      <c r="E165" t="inlineStr">
        <is>
          <t>MÖNSTERÅS</t>
        </is>
      </c>
      <c r="G165" t="n">
        <v>7.2</v>
      </c>
      <c r="H165" t="n">
        <v>0</v>
      </c>
      <c r="I165" t="n">
        <v>0</v>
      </c>
      <c r="J165" t="n">
        <v>0</v>
      </c>
      <c r="K165" t="n">
        <v>0</v>
      </c>
      <c r="L165" t="n">
        <v>0</v>
      </c>
      <c r="M165" t="n">
        <v>0</v>
      </c>
      <c r="N165" t="n">
        <v>0</v>
      </c>
      <c r="O165" t="n">
        <v>0</v>
      </c>
      <c r="P165" t="n">
        <v>0</v>
      </c>
      <c r="Q165" t="n">
        <v>0</v>
      </c>
      <c r="R165" s="2" t="inlineStr"/>
    </row>
    <row r="166" ht="15" customHeight="1">
      <c r="A166" t="inlineStr">
        <is>
          <t>A 47659-2019</t>
        </is>
      </c>
      <c r="B166" s="1" t="n">
        <v>43724</v>
      </c>
      <c r="C166" s="1" t="n">
        <v>45637</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49124-2019</t>
        </is>
      </c>
      <c r="B167" s="1" t="n">
        <v>43731</v>
      </c>
      <c r="C167" s="1" t="n">
        <v>45637</v>
      </c>
      <c r="D167" t="inlineStr">
        <is>
          <t>KALMAR LÄN</t>
        </is>
      </c>
      <c r="E167" t="inlineStr">
        <is>
          <t>MÖNSTERÅS</t>
        </is>
      </c>
      <c r="G167" t="n">
        <v>3.9</v>
      </c>
      <c r="H167" t="n">
        <v>0</v>
      </c>
      <c r="I167" t="n">
        <v>0</v>
      </c>
      <c r="J167" t="n">
        <v>0</v>
      </c>
      <c r="K167" t="n">
        <v>0</v>
      </c>
      <c r="L167" t="n">
        <v>0</v>
      </c>
      <c r="M167" t="n">
        <v>0</v>
      </c>
      <c r="N167" t="n">
        <v>0</v>
      </c>
      <c r="O167" t="n">
        <v>0</v>
      </c>
      <c r="P167" t="n">
        <v>0</v>
      </c>
      <c r="Q167" t="n">
        <v>0</v>
      </c>
      <c r="R167" s="2" t="inlineStr"/>
    </row>
    <row r="168" ht="15" customHeight="1">
      <c r="A168" t="inlineStr">
        <is>
          <t>A 50051-2019</t>
        </is>
      </c>
      <c r="B168" s="1" t="n">
        <v>43733</v>
      </c>
      <c r="C168" s="1" t="n">
        <v>45637</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50336-2019</t>
        </is>
      </c>
      <c r="B169" s="1" t="n">
        <v>43735</v>
      </c>
      <c r="C169" s="1" t="n">
        <v>45637</v>
      </c>
      <c r="D169" t="inlineStr">
        <is>
          <t>KALMAR LÄN</t>
        </is>
      </c>
      <c r="E169" t="inlineStr">
        <is>
          <t>MÖNSTERÅS</t>
        </is>
      </c>
      <c r="G169" t="n">
        <v>5.6</v>
      </c>
      <c r="H169" t="n">
        <v>0</v>
      </c>
      <c r="I169" t="n">
        <v>0</v>
      </c>
      <c r="J169" t="n">
        <v>0</v>
      </c>
      <c r="K169" t="n">
        <v>0</v>
      </c>
      <c r="L169" t="n">
        <v>0</v>
      </c>
      <c r="M169" t="n">
        <v>0</v>
      </c>
      <c r="N169" t="n">
        <v>0</v>
      </c>
      <c r="O169" t="n">
        <v>0</v>
      </c>
      <c r="P169" t="n">
        <v>0</v>
      </c>
      <c r="Q169" t="n">
        <v>0</v>
      </c>
      <c r="R169" s="2" t="inlineStr"/>
    </row>
    <row r="170" ht="15" customHeight="1">
      <c r="A170" t="inlineStr">
        <is>
          <t>A 52553-2019</t>
        </is>
      </c>
      <c r="B170" s="1" t="n">
        <v>43745</v>
      </c>
      <c r="C170" s="1" t="n">
        <v>45637</v>
      </c>
      <c r="D170" t="inlineStr">
        <is>
          <t>KALMAR LÄN</t>
        </is>
      </c>
      <c r="E170" t="inlineStr">
        <is>
          <t>MÖNSTERÅS</t>
        </is>
      </c>
      <c r="F170" t="inlineStr">
        <is>
          <t>Kommuner</t>
        </is>
      </c>
      <c r="G170" t="n">
        <v>3.5</v>
      </c>
      <c r="H170" t="n">
        <v>0</v>
      </c>
      <c r="I170" t="n">
        <v>0</v>
      </c>
      <c r="J170" t="n">
        <v>0</v>
      </c>
      <c r="K170" t="n">
        <v>0</v>
      </c>
      <c r="L170" t="n">
        <v>0</v>
      </c>
      <c r="M170" t="n">
        <v>0</v>
      </c>
      <c r="N170" t="n">
        <v>0</v>
      </c>
      <c r="O170" t="n">
        <v>0</v>
      </c>
      <c r="P170" t="n">
        <v>0</v>
      </c>
      <c r="Q170" t="n">
        <v>0</v>
      </c>
      <c r="R170" s="2" t="inlineStr"/>
    </row>
    <row r="171" ht="15" customHeight="1">
      <c r="A171" t="inlineStr">
        <is>
          <t>A 52554-2019</t>
        </is>
      </c>
      <c r="B171" s="1" t="n">
        <v>43745</v>
      </c>
      <c r="C171" s="1" t="n">
        <v>45637</v>
      </c>
      <c r="D171" t="inlineStr">
        <is>
          <t>KALMAR LÄN</t>
        </is>
      </c>
      <c r="E171" t="inlineStr">
        <is>
          <t>MÖNSTERÅS</t>
        </is>
      </c>
      <c r="F171" t="inlineStr">
        <is>
          <t>Kommuner</t>
        </is>
      </c>
      <c r="G171" t="n">
        <v>3.2</v>
      </c>
      <c r="H171" t="n">
        <v>0</v>
      </c>
      <c r="I171" t="n">
        <v>0</v>
      </c>
      <c r="J171" t="n">
        <v>0</v>
      </c>
      <c r="K171" t="n">
        <v>0</v>
      </c>
      <c r="L171" t="n">
        <v>0</v>
      </c>
      <c r="M171" t="n">
        <v>0</v>
      </c>
      <c r="N171" t="n">
        <v>0</v>
      </c>
      <c r="O171" t="n">
        <v>0</v>
      </c>
      <c r="P171" t="n">
        <v>0</v>
      </c>
      <c r="Q171" t="n">
        <v>0</v>
      </c>
      <c r="R171" s="2" t="inlineStr"/>
    </row>
    <row r="172" ht="15" customHeight="1">
      <c r="A172" t="inlineStr">
        <is>
          <t>A 53538-2019</t>
        </is>
      </c>
      <c r="B172" s="1" t="n">
        <v>43749</v>
      </c>
      <c r="C172" s="1" t="n">
        <v>45637</v>
      </c>
      <c r="D172" t="inlineStr">
        <is>
          <t>KALMAR LÄN</t>
        </is>
      </c>
      <c r="E172" t="inlineStr">
        <is>
          <t>MÖNSTERÅS</t>
        </is>
      </c>
      <c r="G172" t="n">
        <v>6</v>
      </c>
      <c r="H172" t="n">
        <v>0</v>
      </c>
      <c r="I172" t="n">
        <v>0</v>
      </c>
      <c r="J172" t="n">
        <v>0</v>
      </c>
      <c r="K172" t="n">
        <v>0</v>
      </c>
      <c r="L172" t="n">
        <v>0</v>
      </c>
      <c r="M172" t="n">
        <v>0</v>
      </c>
      <c r="N172" t="n">
        <v>0</v>
      </c>
      <c r="O172" t="n">
        <v>0</v>
      </c>
      <c r="P172" t="n">
        <v>0</v>
      </c>
      <c r="Q172" t="n">
        <v>0</v>
      </c>
      <c r="R172" s="2" t="inlineStr"/>
    </row>
    <row r="173" ht="15" customHeight="1">
      <c r="A173" t="inlineStr">
        <is>
          <t>A 57293-2019</t>
        </is>
      </c>
      <c r="B173" s="1" t="n">
        <v>43760</v>
      </c>
      <c r="C173" s="1" t="n">
        <v>45637</v>
      </c>
      <c r="D173" t="inlineStr">
        <is>
          <t>KALMAR LÄN</t>
        </is>
      </c>
      <c r="E173" t="inlineStr">
        <is>
          <t>MÖNSTERÅS</t>
        </is>
      </c>
      <c r="G173" t="n">
        <v>2</v>
      </c>
      <c r="H173" t="n">
        <v>0</v>
      </c>
      <c r="I173" t="n">
        <v>0</v>
      </c>
      <c r="J173" t="n">
        <v>0</v>
      </c>
      <c r="K173" t="n">
        <v>0</v>
      </c>
      <c r="L173" t="n">
        <v>0</v>
      </c>
      <c r="M173" t="n">
        <v>0</v>
      </c>
      <c r="N173" t="n">
        <v>0</v>
      </c>
      <c r="O173" t="n">
        <v>0</v>
      </c>
      <c r="P173" t="n">
        <v>0</v>
      </c>
      <c r="Q173" t="n">
        <v>0</v>
      </c>
      <c r="R173" s="2" t="inlineStr"/>
    </row>
    <row r="174" ht="15" customHeight="1">
      <c r="A174" t="inlineStr">
        <is>
          <t>A 57285-2019</t>
        </is>
      </c>
      <c r="B174" s="1" t="n">
        <v>43760</v>
      </c>
      <c r="C174" s="1" t="n">
        <v>45637</v>
      </c>
      <c r="D174" t="inlineStr">
        <is>
          <t>KALMAR LÄN</t>
        </is>
      </c>
      <c r="E174" t="inlineStr">
        <is>
          <t>MÖNSTERÅS</t>
        </is>
      </c>
      <c r="G174" t="n">
        <v>0.9</v>
      </c>
      <c r="H174" t="n">
        <v>0</v>
      </c>
      <c r="I174" t="n">
        <v>0</v>
      </c>
      <c r="J174" t="n">
        <v>0</v>
      </c>
      <c r="K174" t="n">
        <v>0</v>
      </c>
      <c r="L174" t="n">
        <v>0</v>
      </c>
      <c r="M174" t="n">
        <v>0</v>
      </c>
      <c r="N174" t="n">
        <v>0</v>
      </c>
      <c r="O174" t="n">
        <v>0</v>
      </c>
      <c r="P174" t="n">
        <v>0</v>
      </c>
      <c r="Q174" t="n">
        <v>0</v>
      </c>
      <c r="R174" s="2" t="inlineStr"/>
    </row>
    <row r="175" ht="15" customHeight="1">
      <c r="A175" t="inlineStr">
        <is>
          <t>A 56558-2019</t>
        </is>
      </c>
      <c r="B175" s="1" t="n">
        <v>43763</v>
      </c>
      <c r="C175" s="1" t="n">
        <v>45637</v>
      </c>
      <c r="D175" t="inlineStr">
        <is>
          <t>KALMAR LÄN</t>
        </is>
      </c>
      <c r="E175" t="inlineStr">
        <is>
          <t>MÖNSTERÅS</t>
        </is>
      </c>
      <c r="G175" t="n">
        <v>0.6</v>
      </c>
      <c r="H175" t="n">
        <v>0</v>
      </c>
      <c r="I175" t="n">
        <v>0</v>
      </c>
      <c r="J175" t="n">
        <v>0</v>
      </c>
      <c r="K175" t="n">
        <v>0</v>
      </c>
      <c r="L175" t="n">
        <v>0</v>
      </c>
      <c r="M175" t="n">
        <v>0</v>
      </c>
      <c r="N175" t="n">
        <v>0</v>
      </c>
      <c r="O175" t="n">
        <v>0</v>
      </c>
      <c r="P175" t="n">
        <v>0</v>
      </c>
      <c r="Q175" t="n">
        <v>0</v>
      </c>
      <c r="R175" s="2" t="inlineStr"/>
    </row>
    <row r="176" ht="15" customHeight="1">
      <c r="A176" t="inlineStr">
        <is>
          <t>A 56560-2019</t>
        </is>
      </c>
      <c r="B176" s="1" t="n">
        <v>43763</v>
      </c>
      <c r="C176" s="1" t="n">
        <v>45637</v>
      </c>
      <c r="D176" t="inlineStr">
        <is>
          <t>KALMAR LÄN</t>
        </is>
      </c>
      <c r="E176" t="inlineStr">
        <is>
          <t>MÖNSTERÅS</t>
        </is>
      </c>
      <c r="G176" t="n">
        <v>1.5</v>
      </c>
      <c r="H176" t="n">
        <v>0</v>
      </c>
      <c r="I176" t="n">
        <v>0</v>
      </c>
      <c r="J176" t="n">
        <v>0</v>
      </c>
      <c r="K176" t="n">
        <v>0</v>
      </c>
      <c r="L176" t="n">
        <v>0</v>
      </c>
      <c r="M176" t="n">
        <v>0</v>
      </c>
      <c r="N176" t="n">
        <v>0</v>
      </c>
      <c r="O176" t="n">
        <v>0</v>
      </c>
      <c r="P176" t="n">
        <v>0</v>
      </c>
      <c r="Q176" t="n">
        <v>0</v>
      </c>
      <c r="R176" s="2" t="inlineStr"/>
    </row>
    <row r="177" ht="15" customHeight="1">
      <c r="A177" t="inlineStr">
        <is>
          <t>A 56575-2019</t>
        </is>
      </c>
      <c r="B177" s="1" t="n">
        <v>43763</v>
      </c>
      <c r="C177" s="1" t="n">
        <v>45637</v>
      </c>
      <c r="D177" t="inlineStr">
        <is>
          <t>KALMAR LÄN</t>
        </is>
      </c>
      <c r="E177" t="inlineStr">
        <is>
          <t>MÖNSTERÅS</t>
        </is>
      </c>
      <c r="G177" t="n">
        <v>0.7</v>
      </c>
      <c r="H177" t="n">
        <v>0</v>
      </c>
      <c r="I177" t="n">
        <v>0</v>
      </c>
      <c r="J177" t="n">
        <v>0</v>
      </c>
      <c r="K177" t="n">
        <v>0</v>
      </c>
      <c r="L177" t="n">
        <v>0</v>
      </c>
      <c r="M177" t="n">
        <v>0</v>
      </c>
      <c r="N177" t="n">
        <v>0</v>
      </c>
      <c r="O177" t="n">
        <v>0</v>
      </c>
      <c r="P177" t="n">
        <v>0</v>
      </c>
      <c r="Q177" t="n">
        <v>0</v>
      </c>
      <c r="R177" s="2" t="inlineStr"/>
    </row>
    <row r="178" ht="15" customHeight="1">
      <c r="A178" t="inlineStr">
        <is>
          <t>A 56632-2019</t>
        </is>
      </c>
      <c r="B178" s="1" t="n">
        <v>43763</v>
      </c>
      <c r="C178" s="1" t="n">
        <v>45637</v>
      </c>
      <c r="D178" t="inlineStr">
        <is>
          <t>KALMAR LÄN</t>
        </is>
      </c>
      <c r="E178" t="inlineStr">
        <is>
          <t>MÖNSTERÅS</t>
        </is>
      </c>
      <c r="G178" t="n">
        <v>8.6</v>
      </c>
      <c r="H178" t="n">
        <v>0</v>
      </c>
      <c r="I178" t="n">
        <v>0</v>
      </c>
      <c r="J178" t="n">
        <v>0</v>
      </c>
      <c r="K178" t="n">
        <v>0</v>
      </c>
      <c r="L178" t="n">
        <v>0</v>
      </c>
      <c r="M178" t="n">
        <v>0</v>
      </c>
      <c r="N178" t="n">
        <v>0</v>
      </c>
      <c r="O178" t="n">
        <v>0</v>
      </c>
      <c r="P178" t="n">
        <v>0</v>
      </c>
      <c r="Q178" t="n">
        <v>0</v>
      </c>
      <c r="R178" s="2" t="inlineStr"/>
    </row>
    <row r="179" ht="15" customHeight="1">
      <c r="A179" t="inlineStr">
        <is>
          <t>A 57174-2019</t>
        </is>
      </c>
      <c r="B179" s="1" t="n">
        <v>43766</v>
      </c>
      <c r="C179" s="1" t="n">
        <v>45637</v>
      </c>
      <c r="D179" t="inlineStr">
        <is>
          <t>KALMAR LÄN</t>
        </is>
      </c>
      <c r="E179" t="inlineStr">
        <is>
          <t>MÖNSTERÅS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57335-2019</t>
        </is>
      </c>
      <c r="B180" s="1" t="n">
        <v>43767</v>
      </c>
      <c r="C180" s="1" t="n">
        <v>45637</v>
      </c>
      <c r="D180" t="inlineStr">
        <is>
          <t>KALMAR LÄN</t>
        </is>
      </c>
      <c r="E180" t="inlineStr">
        <is>
          <t>MÖNSTERÅS</t>
        </is>
      </c>
      <c r="G180" t="n">
        <v>2.2</v>
      </c>
      <c r="H180" t="n">
        <v>0</v>
      </c>
      <c r="I180" t="n">
        <v>0</v>
      </c>
      <c r="J180" t="n">
        <v>0</v>
      </c>
      <c r="K180" t="n">
        <v>0</v>
      </c>
      <c r="L180" t="n">
        <v>0</v>
      </c>
      <c r="M180" t="n">
        <v>0</v>
      </c>
      <c r="N180" t="n">
        <v>0</v>
      </c>
      <c r="O180" t="n">
        <v>0</v>
      </c>
      <c r="P180" t="n">
        <v>0</v>
      </c>
      <c r="Q180" t="n">
        <v>0</v>
      </c>
      <c r="R180" s="2" t="inlineStr"/>
    </row>
    <row r="181" ht="15" customHeight="1">
      <c r="A181" t="inlineStr">
        <is>
          <t>A 58604-2019</t>
        </is>
      </c>
      <c r="B181" s="1" t="n">
        <v>43767</v>
      </c>
      <c r="C181" s="1" t="n">
        <v>45637</v>
      </c>
      <c r="D181" t="inlineStr">
        <is>
          <t>KALMAR LÄN</t>
        </is>
      </c>
      <c r="E181" t="inlineStr">
        <is>
          <t>MÖNSTERÅS</t>
        </is>
      </c>
      <c r="G181" t="n">
        <v>1.3</v>
      </c>
      <c r="H181" t="n">
        <v>0</v>
      </c>
      <c r="I181" t="n">
        <v>0</v>
      </c>
      <c r="J181" t="n">
        <v>0</v>
      </c>
      <c r="K181" t="n">
        <v>0</v>
      </c>
      <c r="L181" t="n">
        <v>0</v>
      </c>
      <c r="M181" t="n">
        <v>0</v>
      </c>
      <c r="N181" t="n">
        <v>0</v>
      </c>
      <c r="O181" t="n">
        <v>0</v>
      </c>
      <c r="P181" t="n">
        <v>0</v>
      </c>
      <c r="Q181" t="n">
        <v>0</v>
      </c>
      <c r="R181" s="2" t="inlineStr"/>
    </row>
    <row r="182" ht="15" customHeight="1">
      <c r="A182" t="inlineStr">
        <is>
          <t>A 58436-2019</t>
        </is>
      </c>
      <c r="B182" s="1" t="n">
        <v>43773</v>
      </c>
      <c r="C182" s="1" t="n">
        <v>45637</v>
      </c>
      <c r="D182" t="inlineStr">
        <is>
          <t>KALMAR LÄN</t>
        </is>
      </c>
      <c r="E182" t="inlineStr">
        <is>
          <t>MÖNSTERÅS</t>
        </is>
      </c>
      <c r="G182" t="n">
        <v>2.8</v>
      </c>
      <c r="H182" t="n">
        <v>0</v>
      </c>
      <c r="I182" t="n">
        <v>0</v>
      </c>
      <c r="J182" t="n">
        <v>0</v>
      </c>
      <c r="K182" t="n">
        <v>0</v>
      </c>
      <c r="L182" t="n">
        <v>0</v>
      </c>
      <c r="M182" t="n">
        <v>0</v>
      </c>
      <c r="N182" t="n">
        <v>0</v>
      </c>
      <c r="O182" t="n">
        <v>0</v>
      </c>
      <c r="P182" t="n">
        <v>0</v>
      </c>
      <c r="Q182" t="n">
        <v>0</v>
      </c>
      <c r="R182" s="2" t="inlineStr"/>
    </row>
    <row r="183" ht="15" customHeight="1">
      <c r="A183" t="inlineStr">
        <is>
          <t>A 59300-2019</t>
        </is>
      </c>
      <c r="B183" s="1" t="n">
        <v>43775</v>
      </c>
      <c r="C183" s="1" t="n">
        <v>45637</v>
      </c>
      <c r="D183" t="inlineStr">
        <is>
          <t>KALMAR LÄN</t>
        </is>
      </c>
      <c r="E183" t="inlineStr">
        <is>
          <t>MÖNSTERÅS</t>
        </is>
      </c>
      <c r="G183" t="n">
        <v>1.1</v>
      </c>
      <c r="H183" t="n">
        <v>0</v>
      </c>
      <c r="I183" t="n">
        <v>0</v>
      </c>
      <c r="J183" t="n">
        <v>0</v>
      </c>
      <c r="K183" t="n">
        <v>0</v>
      </c>
      <c r="L183" t="n">
        <v>0</v>
      </c>
      <c r="M183" t="n">
        <v>0</v>
      </c>
      <c r="N183" t="n">
        <v>0</v>
      </c>
      <c r="O183" t="n">
        <v>0</v>
      </c>
      <c r="P183" t="n">
        <v>0</v>
      </c>
      <c r="Q183" t="n">
        <v>0</v>
      </c>
      <c r="R183" s="2" t="inlineStr"/>
    </row>
    <row r="184" ht="15" customHeight="1">
      <c r="A184" t="inlineStr">
        <is>
          <t>A 59660-2019</t>
        </is>
      </c>
      <c r="B184" s="1" t="n">
        <v>43776</v>
      </c>
      <c r="C184" s="1" t="n">
        <v>45637</v>
      </c>
      <c r="D184" t="inlineStr">
        <is>
          <t>KALMAR LÄN</t>
        </is>
      </c>
      <c r="E184" t="inlineStr">
        <is>
          <t>MÖNSTERÅS</t>
        </is>
      </c>
      <c r="G184" t="n">
        <v>13.9</v>
      </c>
      <c r="H184" t="n">
        <v>0</v>
      </c>
      <c r="I184" t="n">
        <v>0</v>
      </c>
      <c r="J184" t="n">
        <v>0</v>
      </c>
      <c r="K184" t="n">
        <v>0</v>
      </c>
      <c r="L184" t="n">
        <v>0</v>
      </c>
      <c r="M184" t="n">
        <v>0</v>
      </c>
      <c r="N184" t="n">
        <v>0</v>
      </c>
      <c r="O184" t="n">
        <v>0</v>
      </c>
      <c r="P184" t="n">
        <v>0</v>
      </c>
      <c r="Q184" t="n">
        <v>0</v>
      </c>
      <c r="R184" s="2" t="inlineStr"/>
    </row>
    <row r="185" ht="15" customHeight="1">
      <c r="A185" t="inlineStr">
        <is>
          <t>A 64128-2019</t>
        </is>
      </c>
      <c r="B185" s="1" t="n">
        <v>43796</v>
      </c>
      <c r="C185" s="1" t="n">
        <v>45637</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64127-2019</t>
        </is>
      </c>
      <c r="B186" s="1" t="n">
        <v>43796</v>
      </c>
      <c r="C186" s="1" t="n">
        <v>45637</v>
      </c>
      <c r="D186" t="inlineStr">
        <is>
          <t>KALMAR LÄN</t>
        </is>
      </c>
      <c r="E186" t="inlineStr">
        <is>
          <t>MÖNSTERÅS</t>
        </is>
      </c>
      <c r="G186" t="n">
        <v>8.9</v>
      </c>
      <c r="H186" t="n">
        <v>0</v>
      </c>
      <c r="I186" t="n">
        <v>0</v>
      </c>
      <c r="J186" t="n">
        <v>0</v>
      </c>
      <c r="K186" t="n">
        <v>0</v>
      </c>
      <c r="L186" t="n">
        <v>0</v>
      </c>
      <c r="M186" t="n">
        <v>0</v>
      </c>
      <c r="N186" t="n">
        <v>0</v>
      </c>
      <c r="O186" t="n">
        <v>0</v>
      </c>
      <c r="P186" t="n">
        <v>0</v>
      </c>
      <c r="Q186" t="n">
        <v>0</v>
      </c>
      <c r="R186" s="2" t="inlineStr"/>
    </row>
    <row r="187" ht="15" customHeight="1">
      <c r="A187" t="inlineStr">
        <is>
          <t>A 66463-2019</t>
        </is>
      </c>
      <c r="B187" s="1" t="n">
        <v>43809</v>
      </c>
      <c r="C187" s="1" t="n">
        <v>45637</v>
      </c>
      <c r="D187" t="inlineStr">
        <is>
          <t>KALMAR LÄN</t>
        </is>
      </c>
      <c r="E187" t="inlineStr">
        <is>
          <t>MÖNSTERÅS</t>
        </is>
      </c>
      <c r="F187" t="inlineStr">
        <is>
          <t>Kyrkan</t>
        </is>
      </c>
      <c r="G187" t="n">
        <v>0.8</v>
      </c>
      <c r="H187" t="n">
        <v>0</v>
      </c>
      <c r="I187" t="n">
        <v>0</v>
      </c>
      <c r="J187" t="n">
        <v>0</v>
      </c>
      <c r="K187" t="n">
        <v>0</v>
      </c>
      <c r="L187" t="n">
        <v>0</v>
      </c>
      <c r="M187" t="n">
        <v>0</v>
      </c>
      <c r="N187" t="n">
        <v>0</v>
      </c>
      <c r="O187" t="n">
        <v>0</v>
      </c>
      <c r="P187" t="n">
        <v>0</v>
      </c>
      <c r="Q187" t="n">
        <v>0</v>
      </c>
      <c r="R187" s="2" t="inlineStr"/>
    </row>
    <row r="188" ht="15" customHeight="1">
      <c r="A188" t="inlineStr">
        <is>
          <t>A 69119-2019</t>
        </is>
      </c>
      <c r="B188" s="1" t="n">
        <v>43815</v>
      </c>
      <c r="C188" s="1" t="n">
        <v>45637</v>
      </c>
      <c r="D188" t="inlineStr">
        <is>
          <t>KALMAR LÄN</t>
        </is>
      </c>
      <c r="E188" t="inlineStr">
        <is>
          <t>MÖNSTERÅS</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69122-2019</t>
        </is>
      </c>
      <c r="B189" s="1" t="n">
        <v>43815</v>
      </c>
      <c r="C189" s="1" t="n">
        <v>45637</v>
      </c>
      <c r="D189" t="inlineStr">
        <is>
          <t>KALMAR LÄN</t>
        </is>
      </c>
      <c r="E189" t="inlineStr">
        <is>
          <t>MÖNSTERÅS</t>
        </is>
      </c>
      <c r="F189" t="inlineStr">
        <is>
          <t>Övriga Aktiebolag</t>
        </is>
      </c>
      <c r="G189" t="n">
        <v>19.2</v>
      </c>
      <c r="H189" t="n">
        <v>0</v>
      </c>
      <c r="I189" t="n">
        <v>0</v>
      </c>
      <c r="J189" t="n">
        <v>0</v>
      </c>
      <c r="K189" t="n">
        <v>0</v>
      </c>
      <c r="L189" t="n">
        <v>0</v>
      </c>
      <c r="M189" t="n">
        <v>0</v>
      </c>
      <c r="N189" t="n">
        <v>0</v>
      </c>
      <c r="O189" t="n">
        <v>0</v>
      </c>
      <c r="P189" t="n">
        <v>0</v>
      </c>
      <c r="Q189" t="n">
        <v>0</v>
      </c>
      <c r="R189" s="2" t="inlineStr"/>
    </row>
    <row r="190" ht="15" customHeight="1">
      <c r="A190" t="inlineStr">
        <is>
          <t>A 69034-2019</t>
        </is>
      </c>
      <c r="B190" s="1" t="n">
        <v>43815</v>
      </c>
      <c r="C190" s="1" t="n">
        <v>45637</v>
      </c>
      <c r="D190" t="inlineStr">
        <is>
          <t>KALMAR LÄN</t>
        </is>
      </c>
      <c r="E190" t="inlineStr">
        <is>
          <t>MÖNSTERÅS</t>
        </is>
      </c>
      <c r="G190" t="n">
        <v>1</v>
      </c>
      <c r="H190" t="n">
        <v>0</v>
      </c>
      <c r="I190" t="n">
        <v>0</v>
      </c>
      <c r="J190" t="n">
        <v>0</v>
      </c>
      <c r="K190" t="n">
        <v>0</v>
      </c>
      <c r="L190" t="n">
        <v>0</v>
      </c>
      <c r="M190" t="n">
        <v>0</v>
      </c>
      <c r="N190" t="n">
        <v>0</v>
      </c>
      <c r="O190" t="n">
        <v>0</v>
      </c>
      <c r="P190" t="n">
        <v>0</v>
      </c>
      <c r="Q190" t="n">
        <v>0</v>
      </c>
      <c r="R190" s="2" t="inlineStr"/>
    </row>
    <row r="191" ht="15" customHeight="1">
      <c r="A191" t="inlineStr">
        <is>
          <t>A 67905-2019</t>
        </is>
      </c>
      <c r="B191" s="1" t="n">
        <v>43816</v>
      </c>
      <c r="C191" s="1" t="n">
        <v>45637</v>
      </c>
      <c r="D191" t="inlineStr">
        <is>
          <t>KALMAR LÄN</t>
        </is>
      </c>
      <c r="E191" t="inlineStr">
        <is>
          <t>MÖNSTERÅS</t>
        </is>
      </c>
      <c r="G191" t="n">
        <v>4.5</v>
      </c>
      <c r="H191" t="n">
        <v>0</v>
      </c>
      <c r="I191" t="n">
        <v>0</v>
      </c>
      <c r="J191" t="n">
        <v>0</v>
      </c>
      <c r="K191" t="n">
        <v>0</v>
      </c>
      <c r="L191" t="n">
        <v>0</v>
      </c>
      <c r="M191" t="n">
        <v>0</v>
      </c>
      <c r="N191" t="n">
        <v>0</v>
      </c>
      <c r="O191" t="n">
        <v>0</v>
      </c>
      <c r="P191" t="n">
        <v>0</v>
      </c>
      <c r="Q191" t="n">
        <v>0</v>
      </c>
      <c r="R191" s="2" t="inlineStr"/>
    </row>
    <row r="192" ht="15" customHeight="1">
      <c r="A192" t="inlineStr">
        <is>
          <t>A 67906-2019</t>
        </is>
      </c>
      <c r="B192" s="1" t="n">
        <v>43816</v>
      </c>
      <c r="C192" s="1" t="n">
        <v>45637</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68162-2019</t>
        </is>
      </c>
      <c r="B193" s="1" t="n">
        <v>43817</v>
      </c>
      <c r="C193" s="1" t="n">
        <v>45637</v>
      </c>
      <c r="D193" t="inlineStr">
        <is>
          <t>KALMAR LÄN</t>
        </is>
      </c>
      <c r="E193" t="inlineStr">
        <is>
          <t>MÖNSTERÅS</t>
        </is>
      </c>
      <c r="G193" t="n">
        <v>1.7</v>
      </c>
      <c r="H193" t="n">
        <v>0</v>
      </c>
      <c r="I193" t="n">
        <v>0</v>
      </c>
      <c r="J193" t="n">
        <v>0</v>
      </c>
      <c r="K193" t="n">
        <v>0</v>
      </c>
      <c r="L193" t="n">
        <v>0</v>
      </c>
      <c r="M193" t="n">
        <v>0</v>
      </c>
      <c r="N193" t="n">
        <v>0</v>
      </c>
      <c r="O193" t="n">
        <v>0</v>
      </c>
      <c r="P193" t="n">
        <v>0</v>
      </c>
      <c r="Q193" t="n">
        <v>0</v>
      </c>
      <c r="R193" s="2" t="inlineStr"/>
    </row>
    <row r="194" ht="15" customHeight="1">
      <c r="A194" t="inlineStr">
        <is>
          <t>A 68778-2019</t>
        </is>
      </c>
      <c r="B194" s="1" t="n">
        <v>43819</v>
      </c>
      <c r="C194" s="1" t="n">
        <v>45637</v>
      </c>
      <c r="D194" t="inlineStr">
        <is>
          <t>KALMAR LÄN</t>
        </is>
      </c>
      <c r="E194" t="inlineStr">
        <is>
          <t>MÖNSTERÅS</t>
        </is>
      </c>
      <c r="G194" t="n">
        <v>2.5</v>
      </c>
      <c r="H194" t="n">
        <v>0</v>
      </c>
      <c r="I194" t="n">
        <v>0</v>
      </c>
      <c r="J194" t="n">
        <v>0</v>
      </c>
      <c r="K194" t="n">
        <v>0</v>
      </c>
      <c r="L194" t="n">
        <v>0</v>
      </c>
      <c r="M194" t="n">
        <v>0</v>
      </c>
      <c r="N194" t="n">
        <v>0</v>
      </c>
      <c r="O194" t="n">
        <v>0</v>
      </c>
      <c r="P194" t="n">
        <v>0</v>
      </c>
      <c r="Q194" t="n">
        <v>0</v>
      </c>
      <c r="R194" s="2" t="inlineStr"/>
    </row>
    <row r="195" ht="15" customHeight="1">
      <c r="A195" t="inlineStr">
        <is>
          <t>A 233-2020</t>
        </is>
      </c>
      <c r="B195" s="1" t="n">
        <v>43834</v>
      </c>
      <c r="C195" s="1" t="n">
        <v>45637</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234-2020</t>
        </is>
      </c>
      <c r="B196" s="1" t="n">
        <v>43834</v>
      </c>
      <c r="C196" s="1" t="n">
        <v>45637</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3891-2020</t>
        </is>
      </c>
      <c r="B197" s="1" t="n">
        <v>43854</v>
      </c>
      <c r="C197" s="1" t="n">
        <v>45637</v>
      </c>
      <c r="D197" t="inlineStr">
        <is>
          <t>KALMAR LÄN</t>
        </is>
      </c>
      <c r="E197" t="inlineStr">
        <is>
          <t>MÖNSTERÅS</t>
        </is>
      </c>
      <c r="G197" t="n">
        <v>14.4</v>
      </c>
      <c r="H197" t="n">
        <v>0</v>
      </c>
      <c r="I197" t="n">
        <v>0</v>
      </c>
      <c r="J197" t="n">
        <v>0</v>
      </c>
      <c r="K197" t="n">
        <v>0</v>
      </c>
      <c r="L197" t="n">
        <v>0</v>
      </c>
      <c r="M197" t="n">
        <v>0</v>
      </c>
      <c r="N197" t="n">
        <v>0</v>
      </c>
      <c r="O197" t="n">
        <v>0</v>
      </c>
      <c r="P197" t="n">
        <v>0</v>
      </c>
      <c r="Q197" t="n">
        <v>0</v>
      </c>
      <c r="R197" s="2" t="inlineStr"/>
    </row>
    <row r="198" ht="15" customHeight="1">
      <c r="A198" t="inlineStr">
        <is>
          <t>A 4465-2020</t>
        </is>
      </c>
      <c r="B198" s="1" t="n">
        <v>43858</v>
      </c>
      <c r="C198" s="1" t="n">
        <v>45637</v>
      </c>
      <c r="D198" t="inlineStr">
        <is>
          <t>KALMAR LÄN</t>
        </is>
      </c>
      <c r="E198" t="inlineStr">
        <is>
          <t>MÖNSTERÅS</t>
        </is>
      </c>
      <c r="G198" t="n">
        <v>4.2</v>
      </c>
      <c r="H198" t="n">
        <v>0</v>
      </c>
      <c r="I198" t="n">
        <v>0</v>
      </c>
      <c r="J198" t="n">
        <v>0</v>
      </c>
      <c r="K198" t="n">
        <v>0</v>
      </c>
      <c r="L198" t="n">
        <v>0</v>
      </c>
      <c r="M198" t="n">
        <v>0</v>
      </c>
      <c r="N198" t="n">
        <v>0</v>
      </c>
      <c r="O198" t="n">
        <v>0</v>
      </c>
      <c r="P198" t="n">
        <v>0</v>
      </c>
      <c r="Q198" t="n">
        <v>0</v>
      </c>
      <c r="R198" s="2" t="inlineStr"/>
    </row>
    <row r="199" ht="15" customHeight="1">
      <c r="A199" t="inlineStr">
        <is>
          <t>A 4486-2020</t>
        </is>
      </c>
      <c r="B199" s="1" t="n">
        <v>43858</v>
      </c>
      <c r="C199" s="1" t="n">
        <v>45637</v>
      </c>
      <c r="D199" t="inlineStr">
        <is>
          <t>KALMAR LÄN</t>
        </is>
      </c>
      <c r="E199" t="inlineStr">
        <is>
          <t>MÖNSTERÅS</t>
        </is>
      </c>
      <c r="G199" t="n">
        <v>3.9</v>
      </c>
      <c r="H199" t="n">
        <v>0</v>
      </c>
      <c r="I199" t="n">
        <v>0</v>
      </c>
      <c r="J199" t="n">
        <v>0</v>
      </c>
      <c r="K199" t="n">
        <v>0</v>
      </c>
      <c r="L199" t="n">
        <v>0</v>
      </c>
      <c r="M199" t="n">
        <v>0</v>
      </c>
      <c r="N199" t="n">
        <v>0</v>
      </c>
      <c r="O199" t="n">
        <v>0</v>
      </c>
      <c r="P199" t="n">
        <v>0</v>
      </c>
      <c r="Q199" t="n">
        <v>0</v>
      </c>
      <c r="R199" s="2" t="inlineStr"/>
    </row>
    <row r="200" ht="15" customHeight="1">
      <c r="A200" t="inlineStr">
        <is>
          <t>A 4510-2020</t>
        </is>
      </c>
      <c r="B200" s="1" t="n">
        <v>43858</v>
      </c>
      <c r="C200" s="1" t="n">
        <v>45637</v>
      </c>
      <c r="D200" t="inlineStr">
        <is>
          <t>KALMAR LÄN</t>
        </is>
      </c>
      <c r="E200" t="inlineStr">
        <is>
          <t>MÖNSTERÅS</t>
        </is>
      </c>
      <c r="G200" t="n">
        <v>7.5</v>
      </c>
      <c r="H200" t="n">
        <v>0</v>
      </c>
      <c r="I200" t="n">
        <v>0</v>
      </c>
      <c r="J200" t="n">
        <v>0</v>
      </c>
      <c r="K200" t="n">
        <v>0</v>
      </c>
      <c r="L200" t="n">
        <v>0</v>
      </c>
      <c r="M200" t="n">
        <v>0</v>
      </c>
      <c r="N200" t="n">
        <v>0</v>
      </c>
      <c r="O200" t="n">
        <v>0</v>
      </c>
      <c r="P200" t="n">
        <v>0</v>
      </c>
      <c r="Q200" t="n">
        <v>0</v>
      </c>
      <c r="R200" s="2" t="inlineStr"/>
    </row>
    <row r="201" ht="15" customHeight="1">
      <c r="A201" t="inlineStr">
        <is>
          <t>A 5448-2020</t>
        </is>
      </c>
      <c r="B201" s="1" t="n">
        <v>43859</v>
      </c>
      <c r="C201" s="1" t="n">
        <v>45637</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5931-2020</t>
        </is>
      </c>
      <c r="B202" s="1" t="n">
        <v>43864</v>
      </c>
      <c r="C202" s="1" t="n">
        <v>45637</v>
      </c>
      <c r="D202" t="inlineStr">
        <is>
          <t>KALMAR LÄN</t>
        </is>
      </c>
      <c r="E202" t="inlineStr">
        <is>
          <t>MÖNSTERÅS</t>
        </is>
      </c>
      <c r="G202" t="n">
        <v>3.3</v>
      </c>
      <c r="H202" t="n">
        <v>0</v>
      </c>
      <c r="I202" t="n">
        <v>0</v>
      </c>
      <c r="J202" t="n">
        <v>0</v>
      </c>
      <c r="K202" t="n">
        <v>0</v>
      </c>
      <c r="L202" t="n">
        <v>0</v>
      </c>
      <c r="M202" t="n">
        <v>0</v>
      </c>
      <c r="N202" t="n">
        <v>0</v>
      </c>
      <c r="O202" t="n">
        <v>0</v>
      </c>
      <c r="P202" t="n">
        <v>0</v>
      </c>
      <c r="Q202" t="n">
        <v>0</v>
      </c>
      <c r="R202" s="2" t="inlineStr"/>
    </row>
    <row r="203" ht="15" customHeight="1">
      <c r="A203" t="inlineStr">
        <is>
          <t>A 5932-2020</t>
        </is>
      </c>
      <c r="B203" s="1" t="n">
        <v>43864</v>
      </c>
      <c r="C203" s="1" t="n">
        <v>45637</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6822-2020</t>
        </is>
      </c>
      <c r="B204" s="1" t="n">
        <v>43868</v>
      </c>
      <c r="C204" s="1" t="n">
        <v>45637</v>
      </c>
      <c r="D204" t="inlineStr">
        <is>
          <t>KALMAR LÄN</t>
        </is>
      </c>
      <c r="E204" t="inlineStr">
        <is>
          <t>MÖNSTERÅS</t>
        </is>
      </c>
      <c r="G204" t="n">
        <v>3.2</v>
      </c>
      <c r="H204" t="n">
        <v>0</v>
      </c>
      <c r="I204" t="n">
        <v>0</v>
      </c>
      <c r="J204" t="n">
        <v>0</v>
      </c>
      <c r="K204" t="n">
        <v>0</v>
      </c>
      <c r="L204" t="n">
        <v>0</v>
      </c>
      <c r="M204" t="n">
        <v>0</v>
      </c>
      <c r="N204" t="n">
        <v>0</v>
      </c>
      <c r="O204" t="n">
        <v>0</v>
      </c>
      <c r="P204" t="n">
        <v>0</v>
      </c>
      <c r="Q204" t="n">
        <v>0</v>
      </c>
      <c r="R204" s="2" t="inlineStr"/>
    </row>
    <row r="205" ht="15" customHeight="1">
      <c r="A205" t="inlineStr">
        <is>
          <t>A 6819-2020</t>
        </is>
      </c>
      <c r="B205" s="1" t="n">
        <v>43868</v>
      </c>
      <c r="C205" s="1" t="n">
        <v>45637</v>
      </c>
      <c r="D205" t="inlineStr">
        <is>
          <t>KALMAR LÄN</t>
        </is>
      </c>
      <c r="E205" t="inlineStr">
        <is>
          <t>MÖNSTERÅS</t>
        </is>
      </c>
      <c r="G205" t="n">
        <v>4.1</v>
      </c>
      <c r="H205" t="n">
        <v>0</v>
      </c>
      <c r="I205" t="n">
        <v>0</v>
      </c>
      <c r="J205" t="n">
        <v>0</v>
      </c>
      <c r="K205" t="n">
        <v>0</v>
      </c>
      <c r="L205" t="n">
        <v>0</v>
      </c>
      <c r="M205" t="n">
        <v>0</v>
      </c>
      <c r="N205" t="n">
        <v>0</v>
      </c>
      <c r="O205" t="n">
        <v>0</v>
      </c>
      <c r="P205" t="n">
        <v>0</v>
      </c>
      <c r="Q205" t="n">
        <v>0</v>
      </c>
      <c r="R205" s="2" t="inlineStr"/>
    </row>
    <row r="206" ht="15" customHeight="1">
      <c r="A206" t="inlineStr">
        <is>
          <t>A 6841-2020</t>
        </is>
      </c>
      <c r="B206" s="1" t="n">
        <v>43868</v>
      </c>
      <c r="C206" s="1" t="n">
        <v>45637</v>
      </c>
      <c r="D206" t="inlineStr">
        <is>
          <t>KALMAR LÄN</t>
        </is>
      </c>
      <c r="E206" t="inlineStr">
        <is>
          <t>MÖNSTERÅS</t>
        </is>
      </c>
      <c r="G206" t="n">
        <v>13.7</v>
      </c>
      <c r="H206" t="n">
        <v>0</v>
      </c>
      <c r="I206" t="n">
        <v>0</v>
      </c>
      <c r="J206" t="n">
        <v>0</v>
      </c>
      <c r="K206" t="n">
        <v>0</v>
      </c>
      <c r="L206" t="n">
        <v>0</v>
      </c>
      <c r="M206" t="n">
        <v>0</v>
      </c>
      <c r="N206" t="n">
        <v>0</v>
      </c>
      <c r="O206" t="n">
        <v>0</v>
      </c>
      <c r="P206" t="n">
        <v>0</v>
      </c>
      <c r="Q206" t="n">
        <v>0</v>
      </c>
      <c r="R206" s="2" t="inlineStr"/>
    </row>
    <row r="207" ht="15" customHeight="1">
      <c r="A207" t="inlineStr">
        <is>
          <t>A 6832-2020</t>
        </is>
      </c>
      <c r="B207" s="1" t="n">
        <v>43868</v>
      </c>
      <c r="C207" s="1" t="n">
        <v>45637</v>
      </c>
      <c r="D207" t="inlineStr">
        <is>
          <t>KALMAR LÄN</t>
        </is>
      </c>
      <c r="E207" t="inlineStr">
        <is>
          <t>MÖNSTERÅS</t>
        </is>
      </c>
      <c r="G207" t="n">
        <v>10.8</v>
      </c>
      <c r="H207" t="n">
        <v>0</v>
      </c>
      <c r="I207" t="n">
        <v>0</v>
      </c>
      <c r="J207" t="n">
        <v>0</v>
      </c>
      <c r="K207" t="n">
        <v>0</v>
      </c>
      <c r="L207" t="n">
        <v>0</v>
      </c>
      <c r="M207" t="n">
        <v>0</v>
      </c>
      <c r="N207" t="n">
        <v>0</v>
      </c>
      <c r="O207" t="n">
        <v>0</v>
      </c>
      <c r="P207" t="n">
        <v>0</v>
      </c>
      <c r="Q207" t="n">
        <v>0</v>
      </c>
      <c r="R207" s="2" t="inlineStr"/>
    </row>
    <row r="208" ht="15" customHeight="1">
      <c r="A208" t="inlineStr">
        <is>
          <t>A 6848-2020</t>
        </is>
      </c>
      <c r="B208" s="1" t="n">
        <v>43868</v>
      </c>
      <c r="C208" s="1" t="n">
        <v>45637</v>
      </c>
      <c r="D208" t="inlineStr">
        <is>
          <t>KALMAR LÄN</t>
        </is>
      </c>
      <c r="E208" t="inlineStr">
        <is>
          <t>MÖNSTERÅS</t>
        </is>
      </c>
      <c r="G208" t="n">
        <v>4.3</v>
      </c>
      <c r="H208" t="n">
        <v>0</v>
      </c>
      <c r="I208" t="n">
        <v>0</v>
      </c>
      <c r="J208" t="n">
        <v>0</v>
      </c>
      <c r="K208" t="n">
        <v>0</v>
      </c>
      <c r="L208" t="n">
        <v>0</v>
      </c>
      <c r="M208" t="n">
        <v>0</v>
      </c>
      <c r="N208" t="n">
        <v>0</v>
      </c>
      <c r="O208" t="n">
        <v>0</v>
      </c>
      <c r="P208" t="n">
        <v>0</v>
      </c>
      <c r="Q208" t="n">
        <v>0</v>
      </c>
      <c r="R208" s="2" t="inlineStr"/>
    </row>
    <row r="209" ht="15" customHeight="1">
      <c r="A209" t="inlineStr">
        <is>
          <t>A 7356-2020</t>
        </is>
      </c>
      <c r="B209" s="1" t="n">
        <v>43871</v>
      </c>
      <c r="C209" s="1" t="n">
        <v>45637</v>
      </c>
      <c r="D209" t="inlineStr">
        <is>
          <t>KALMAR LÄN</t>
        </is>
      </c>
      <c r="E209" t="inlineStr">
        <is>
          <t>MÖNSTERÅS</t>
        </is>
      </c>
      <c r="G209" t="n">
        <v>4.7</v>
      </c>
      <c r="H209" t="n">
        <v>0</v>
      </c>
      <c r="I209" t="n">
        <v>0</v>
      </c>
      <c r="J209" t="n">
        <v>0</v>
      </c>
      <c r="K209" t="n">
        <v>0</v>
      </c>
      <c r="L209" t="n">
        <v>0</v>
      </c>
      <c r="M209" t="n">
        <v>0</v>
      </c>
      <c r="N209" t="n">
        <v>0</v>
      </c>
      <c r="O209" t="n">
        <v>0</v>
      </c>
      <c r="P209" t="n">
        <v>0</v>
      </c>
      <c r="Q209" t="n">
        <v>0</v>
      </c>
      <c r="R209" s="2" t="inlineStr"/>
    </row>
    <row r="210" ht="15" customHeight="1">
      <c r="A210" t="inlineStr">
        <is>
          <t>A 7800-2020</t>
        </is>
      </c>
      <c r="B210" s="1" t="n">
        <v>43873</v>
      </c>
      <c r="C210" s="1" t="n">
        <v>45637</v>
      </c>
      <c r="D210" t="inlineStr">
        <is>
          <t>KALMAR LÄN</t>
        </is>
      </c>
      <c r="E210" t="inlineStr">
        <is>
          <t>MÖNSTERÅS</t>
        </is>
      </c>
      <c r="G210" t="n">
        <v>0.5</v>
      </c>
      <c r="H210" t="n">
        <v>0</v>
      </c>
      <c r="I210" t="n">
        <v>0</v>
      </c>
      <c r="J210" t="n">
        <v>0</v>
      </c>
      <c r="K210" t="n">
        <v>0</v>
      </c>
      <c r="L210" t="n">
        <v>0</v>
      </c>
      <c r="M210" t="n">
        <v>0</v>
      </c>
      <c r="N210" t="n">
        <v>0</v>
      </c>
      <c r="O210" t="n">
        <v>0</v>
      </c>
      <c r="P210" t="n">
        <v>0</v>
      </c>
      <c r="Q210" t="n">
        <v>0</v>
      </c>
      <c r="R210" s="2" t="inlineStr"/>
    </row>
    <row r="211" ht="15" customHeight="1">
      <c r="A211" t="inlineStr">
        <is>
          <t>A 9547-2020</t>
        </is>
      </c>
      <c r="B211" s="1" t="n">
        <v>43881</v>
      </c>
      <c r="C211" s="1" t="n">
        <v>45637</v>
      </c>
      <c r="D211" t="inlineStr">
        <is>
          <t>KALMAR LÄN</t>
        </is>
      </c>
      <c r="E211" t="inlineStr">
        <is>
          <t>MÖNSTERÅS</t>
        </is>
      </c>
      <c r="G211" t="n">
        <v>4.9</v>
      </c>
      <c r="H211" t="n">
        <v>0</v>
      </c>
      <c r="I211" t="n">
        <v>0</v>
      </c>
      <c r="J211" t="n">
        <v>0</v>
      </c>
      <c r="K211" t="n">
        <v>0</v>
      </c>
      <c r="L211" t="n">
        <v>0</v>
      </c>
      <c r="M211" t="n">
        <v>0</v>
      </c>
      <c r="N211" t="n">
        <v>0</v>
      </c>
      <c r="O211" t="n">
        <v>0</v>
      </c>
      <c r="P211" t="n">
        <v>0</v>
      </c>
      <c r="Q211" t="n">
        <v>0</v>
      </c>
      <c r="R211" s="2" t="inlineStr"/>
    </row>
    <row r="212" ht="15" customHeight="1">
      <c r="A212" t="inlineStr">
        <is>
          <t>A 9691-2020</t>
        </is>
      </c>
      <c r="B212" s="1" t="n">
        <v>43881</v>
      </c>
      <c r="C212" s="1" t="n">
        <v>45637</v>
      </c>
      <c r="D212" t="inlineStr">
        <is>
          <t>KALMAR LÄN</t>
        </is>
      </c>
      <c r="E212" t="inlineStr">
        <is>
          <t>MÖNSTERÅS</t>
        </is>
      </c>
      <c r="G212" t="n">
        <v>0.7</v>
      </c>
      <c r="H212" t="n">
        <v>0</v>
      </c>
      <c r="I212" t="n">
        <v>0</v>
      </c>
      <c r="J212" t="n">
        <v>0</v>
      </c>
      <c r="K212" t="n">
        <v>0</v>
      </c>
      <c r="L212" t="n">
        <v>0</v>
      </c>
      <c r="M212" t="n">
        <v>0</v>
      </c>
      <c r="N212" t="n">
        <v>0</v>
      </c>
      <c r="O212" t="n">
        <v>0</v>
      </c>
      <c r="P212" t="n">
        <v>0</v>
      </c>
      <c r="Q212" t="n">
        <v>0</v>
      </c>
      <c r="R212" s="2" t="inlineStr"/>
    </row>
    <row r="213" ht="15" customHeight="1">
      <c r="A213" t="inlineStr">
        <is>
          <t>A 9913-2020</t>
        </is>
      </c>
      <c r="B213" s="1" t="n">
        <v>43882</v>
      </c>
      <c r="C213" s="1" t="n">
        <v>45637</v>
      </c>
      <c r="D213" t="inlineStr">
        <is>
          <t>KALMAR LÄN</t>
        </is>
      </c>
      <c r="E213" t="inlineStr">
        <is>
          <t>MÖNSTERÅS</t>
        </is>
      </c>
      <c r="G213" t="n">
        <v>2</v>
      </c>
      <c r="H213" t="n">
        <v>0</v>
      </c>
      <c r="I213" t="n">
        <v>0</v>
      </c>
      <c r="J213" t="n">
        <v>0</v>
      </c>
      <c r="K213" t="n">
        <v>0</v>
      </c>
      <c r="L213" t="n">
        <v>0</v>
      </c>
      <c r="M213" t="n">
        <v>0</v>
      </c>
      <c r="N213" t="n">
        <v>0</v>
      </c>
      <c r="O213" t="n">
        <v>0</v>
      </c>
      <c r="P213" t="n">
        <v>0</v>
      </c>
      <c r="Q213" t="n">
        <v>0</v>
      </c>
      <c r="R213" s="2" t="inlineStr"/>
    </row>
    <row r="214" ht="15" customHeight="1">
      <c r="A214" t="inlineStr">
        <is>
          <t>A 9895-2020</t>
        </is>
      </c>
      <c r="B214" s="1" t="n">
        <v>43882</v>
      </c>
      <c r="C214" s="1" t="n">
        <v>45637</v>
      </c>
      <c r="D214" t="inlineStr">
        <is>
          <t>KALMAR LÄN</t>
        </is>
      </c>
      <c r="E214" t="inlineStr">
        <is>
          <t>MÖNSTERÅS</t>
        </is>
      </c>
      <c r="G214" t="n">
        <v>5.1</v>
      </c>
      <c r="H214" t="n">
        <v>0</v>
      </c>
      <c r="I214" t="n">
        <v>0</v>
      </c>
      <c r="J214" t="n">
        <v>0</v>
      </c>
      <c r="K214" t="n">
        <v>0</v>
      </c>
      <c r="L214" t="n">
        <v>0</v>
      </c>
      <c r="M214" t="n">
        <v>0</v>
      </c>
      <c r="N214" t="n">
        <v>0</v>
      </c>
      <c r="O214" t="n">
        <v>0</v>
      </c>
      <c r="P214" t="n">
        <v>0</v>
      </c>
      <c r="Q214" t="n">
        <v>0</v>
      </c>
      <c r="R214" s="2" t="inlineStr"/>
    </row>
    <row r="215" ht="15" customHeight="1">
      <c r="A215" t="inlineStr">
        <is>
          <t>A 9911-2020</t>
        </is>
      </c>
      <c r="B215" s="1" t="n">
        <v>43882</v>
      </c>
      <c r="C215" s="1" t="n">
        <v>45637</v>
      </c>
      <c r="D215" t="inlineStr">
        <is>
          <t>KALMAR LÄN</t>
        </is>
      </c>
      <c r="E215" t="inlineStr">
        <is>
          <t>MÖNSTERÅS</t>
        </is>
      </c>
      <c r="G215" t="n">
        <v>1.9</v>
      </c>
      <c r="H215" t="n">
        <v>0</v>
      </c>
      <c r="I215" t="n">
        <v>0</v>
      </c>
      <c r="J215" t="n">
        <v>0</v>
      </c>
      <c r="K215" t="n">
        <v>0</v>
      </c>
      <c r="L215" t="n">
        <v>0</v>
      </c>
      <c r="M215" t="n">
        <v>0</v>
      </c>
      <c r="N215" t="n">
        <v>0</v>
      </c>
      <c r="O215" t="n">
        <v>0</v>
      </c>
      <c r="P215" t="n">
        <v>0</v>
      </c>
      <c r="Q215" t="n">
        <v>0</v>
      </c>
      <c r="R215" s="2" t="inlineStr"/>
    </row>
    <row r="216" ht="15" customHeight="1">
      <c r="A216" t="inlineStr">
        <is>
          <t>A 10099-2020</t>
        </is>
      </c>
      <c r="B216" s="1" t="n">
        <v>43887</v>
      </c>
      <c r="C216" s="1" t="n">
        <v>45637</v>
      </c>
      <c r="D216" t="inlineStr">
        <is>
          <t>KALMAR LÄN</t>
        </is>
      </c>
      <c r="E216" t="inlineStr">
        <is>
          <t>MÖNSTERÅS</t>
        </is>
      </c>
      <c r="G216" t="n">
        <v>1.8</v>
      </c>
      <c r="H216" t="n">
        <v>0</v>
      </c>
      <c r="I216" t="n">
        <v>0</v>
      </c>
      <c r="J216" t="n">
        <v>0</v>
      </c>
      <c r="K216" t="n">
        <v>0</v>
      </c>
      <c r="L216" t="n">
        <v>0</v>
      </c>
      <c r="M216" t="n">
        <v>0</v>
      </c>
      <c r="N216" t="n">
        <v>0</v>
      </c>
      <c r="O216" t="n">
        <v>0</v>
      </c>
      <c r="P216" t="n">
        <v>0</v>
      </c>
      <c r="Q216" t="n">
        <v>0</v>
      </c>
      <c r="R216" s="2" t="inlineStr"/>
    </row>
    <row r="217" ht="15" customHeight="1">
      <c r="A217" t="inlineStr">
        <is>
          <t>A 11147-2020</t>
        </is>
      </c>
      <c r="B217" s="1" t="n">
        <v>43891</v>
      </c>
      <c r="C217" s="1" t="n">
        <v>45637</v>
      </c>
      <c r="D217" t="inlineStr">
        <is>
          <t>KALMAR LÄN</t>
        </is>
      </c>
      <c r="E217" t="inlineStr">
        <is>
          <t>MÖNSTERÅS</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12270-2020</t>
        </is>
      </c>
      <c r="B218" s="1" t="n">
        <v>43895</v>
      </c>
      <c r="C218" s="1" t="n">
        <v>45637</v>
      </c>
      <c r="D218" t="inlineStr">
        <is>
          <t>KALMAR LÄN</t>
        </is>
      </c>
      <c r="E218" t="inlineStr">
        <is>
          <t>MÖNSTERÅS</t>
        </is>
      </c>
      <c r="G218" t="n">
        <v>4.5</v>
      </c>
      <c r="H218" t="n">
        <v>0</v>
      </c>
      <c r="I218" t="n">
        <v>0</v>
      </c>
      <c r="J218" t="n">
        <v>0</v>
      </c>
      <c r="K218" t="n">
        <v>0</v>
      </c>
      <c r="L218" t="n">
        <v>0</v>
      </c>
      <c r="M218" t="n">
        <v>0</v>
      </c>
      <c r="N218" t="n">
        <v>0</v>
      </c>
      <c r="O218" t="n">
        <v>0</v>
      </c>
      <c r="P218" t="n">
        <v>0</v>
      </c>
      <c r="Q218" t="n">
        <v>0</v>
      </c>
      <c r="R218" s="2" t="inlineStr"/>
    </row>
    <row r="219" ht="15" customHeight="1">
      <c r="A219" t="inlineStr">
        <is>
          <t>A 12997-2020</t>
        </is>
      </c>
      <c r="B219" s="1" t="n">
        <v>43900</v>
      </c>
      <c r="C219" s="1" t="n">
        <v>45637</v>
      </c>
      <c r="D219" t="inlineStr">
        <is>
          <t>KALMAR LÄN</t>
        </is>
      </c>
      <c r="E219" t="inlineStr">
        <is>
          <t>MÖNSTERÅS</t>
        </is>
      </c>
      <c r="G219" t="n">
        <v>3.8</v>
      </c>
      <c r="H219" t="n">
        <v>0</v>
      </c>
      <c r="I219" t="n">
        <v>0</v>
      </c>
      <c r="J219" t="n">
        <v>0</v>
      </c>
      <c r="K219" t="n">
        <v>0</v>
      </c>
      <c r="L219" t="n">
        <v>0</v>
      </c>
      <c r="M219" t="n">
        <v>0</v>
      </c>
      <c r="N219" t="n">
        <v>0</v>
      </c>
      <c r="O219" t="n">
        <v>0</v>
      </c>
      <c r="P219" t="n">
        <v>0</v>
      </c>
      <c r="Q219" t="n">
        <v>0</v>
      </c>
      <c r="R219" s="2" t="inlineStr"/>
    </row>
    <row r="220" ht="15" customHeight="1">
      <c r="A220" t="inlineStr">
        <is>
          <t>A 14020-2020</t>
        </is>
      </c>
      <c r="B220" s="1" t="n">
        <v>43906</v>
      </c>
      <c r="C220" s="1" t="n">
        <v>45637</v>
      </c>
      <c r="D220" t="inlineStr">
        <is>
          <t>KALMAR LÄN</t>
        </is>
      </c>
      <c r="E220" t="inlineStr">
        <is>
          <t>MÖNSTERÅS</t>
        </is>
      </c>
      <c r="G220" t="n">
        <v>0.8</v>
      </c>
      <c r="H220" t="n">
        <v>0</v>
      </c>
      <c r="I220" t="n">
        <v>0</v>
      </c>
      <c r="J220" t="n">
        <v>0</v>
      </c>
      <c r="K220" t="n">
        <v>0</v>
      </c>
      <c r="L220" t="n">
        <v>0</v>
      </c>
      <c r="M220" t="n">
        <v>0</v>
      </c>
      <c r="N220" t="n">
        <v>0</v>
      </c>
      <c r="O220" t="n">
        <v>0</v>
      </c>
      <c r="P220" t="n">
        <v>0</v>
      </c>
      <c r="Q220" t="n">
        <v>0</v>
      </c>
      <c r="R220" s="2" t="inlineStr"/>
    </row>
    <row r="221" ht="15" customHeight="1">
      <c r="A221" t="inlineStr">
        <is>
          <t>A 16541-2020</t>
        </is>
      </c>
      <c r="B221" s="1" t="n">
        <v>43920</v>
      </c>
      <c r="C221" s="1" t="n">
        <v>45637</v>
      </c>
      <c r="D221" t="inlineStr">
        <is>
          <t>KALMAR LÄN</t>
        </is>
      </c>
      <c r="E221" t="inlineStr">
        <is>
          <t>MÖNSTERÅS</t>
        </is>
      </c>
      <c r="G221" t="n">
        <v>2.8</v>
      </c>
      <c r="H221" t="n">
        <v>0</v>
      </c>
      <c r="I221" t="n">
        <v>0</v>
      </c>
      <c r="J221" t="n">
        <v>0</v>
      </c>
      <c r="K221" t="n">
        <v>0</v>
      </c>
      <c r="L221" t="n">
        <v>0</v>
      </c>
      <c r="M221" t="n">
        <v>0</v>
      </c>
      <c r="N221" t="n">
        <v>0</v>
      </c>
      <c r="O221" t="n">
        <v>0</v>
      </c>
      <c r="P221" t="n">
        <v>0</v>
      </c>
      <c r="Q221" t="n">
        <v>0</v>
      </c>
      <c r="R221" s="2" t="inlineStr"/>
    </row>
    <row r="222" ht="15" customHeight="1">
      <c r="A222" t="inlineStr">
        <is>
          <t>A 17608-2020</t>
        </is>
      </c>
      <c r="B222" s="1" t="n">
        <v>43921</v>
      </c>
      <c r="C222" s="1" t="n">
        <v>45637</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18573-2020</t>
        </is>
      </c>
      <c r="B223" s="1" t="n">
        <v>43929</v>
      </c>
      <c r="C223" s="1" t="n">
        <v>45637</v>
      </c>
      <c r="D223" t="inlineStr">
        <is>
          <t>KALMAR LÄN</t>
        </is>
      </c>
      <c r="E223" t="inlineStr">
        <is>
          <t>MÖNSTERÅS</t>
        </is>
      </c>
      <c r="G223" t="n">
        <v>11.2</v>
      </c>
      <c r="H223" t="n">
        <v>0</v>
      </c>
      <c r="I223" t="n">
        <v>0</v>
      </c>
      <c r="J223" t="n">
        <v>0</v>
      </c>
      <c r="K223" t="n">
        <v>0</v>
      </c>
      <c r="L223" t="n">
        <v>0</v>
      </c>
      <c r="M223" t="n">
        <v>0</v>
      </c>
      <c r="N223" t="n">
        <v>0</v>
      </c>
      <c r="O223" t="n">
        <v>0</v>
      </c>
      <c r="P223" t="n">
        <v>0</v>
      </c>
      <c r="Q223" t="n">
        <v>0</v>
      </c>
      <c r="R223" s="2" t="inlineStr"/>
    </row>
    <row r="224" ht="15" customHeight="1">
      <c r="A224" t="inlineStr">
        <is>
          <t>A 20647-2020</t>
        </is>
      </c>
      <c r="B224" s="1" t="n">
        <v>43949</v>
      </c>
      <c r="C224" s="1" t="n">
        <v>45637</v>
      </c>
      <c r="D224" t="inlineStr">
        <is>
          <t>KALMAR LÄN</t>
        </is>
      </c>
      <c r="E224" t="inlineStr">
        <is>
          <t>MÖNSTERÅS</t>
        </is>
      </c>
      <c r="G224" t="n">
        <v>1.5</v>
      </c>
      <c r="H224" t="n">
        <v>0</v>
      </c>
      <c r="I224" t="n">
        <v>0</v>
      </c>
      <c r="J224" t="n">
        <v>0</v>
      </c>
      <c r="K224" t="n">
        <v>0</v>
      </c>
      <c r="L224" t="n">
        <v>0</v>
      </c>
      <c r="M224" t="n">
        <v>0</v>
      </c>
      <c r="N224" t="n">
        <v>0</v>
      </c>
      <c r="O224" t="n">
        <v>0</v>
      </c>
      <c r="P224" t="n">
        <v>0</v>
      </c>
      <c r="Q224" t="n">
        <v>0</v>
      </c>
      <c r="R224" s="2" t="inlineStr"/>
    </row>
    <row r="225" ht="15" customHeight="1">
      <c r="A225" t="inlineStr">
        <is>
          <t>A 20965-2020</t>
        </is>
      </c>
      <c r="B225" s="1" t="n">
        <v>43950</v>
      </c>
      <c r="C225" s="1" t="n">
        <v>45637</v>
      </c>
      <c r="D225" t="inlineStr">
        <is>
          <t>KALMAR LÄN</t>
        </is>
      </c>
      <c r="E225" t="inlineStr">
        <is>
          <t>MÖNSTERÅS</t>
        </is>
      </c>
      <c r="F225" t="inlineStr">
        <is>
          <t>Kommuner</t>
        </is>
      </c>
      <c r="G225" t="n">
        <v>0.9</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45637</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45637</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45637</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45637</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45637</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45637</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45637</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45637</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45637</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45637</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45637</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45637</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45637</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45637</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45637</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45637</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45637</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45637</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45637</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45637</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45637</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45637</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45637</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45637</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45637</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45637</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45637</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45637</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45637</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45637</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45637</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45637</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45637</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45637</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45637</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45637</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45637</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45637</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45637</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45637</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45637</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45637</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45637</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45637</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45637</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45637</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45637</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45637</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45637</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45637</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45637</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45637</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45637</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45637</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45637</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45637</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45637</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45637</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45637</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45637</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45637</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45637</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45637</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45637</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45637</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45637</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45637</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45637</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45637</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45637</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45637</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45637</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45637</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45637</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45637</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45637</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45637</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45637</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45637</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45637</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45637</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45637</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45637</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45637</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45637</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45637</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45637</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45637</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45637</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45637</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45637</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45637</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45637</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45637</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45637</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45637</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45637</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45637</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45637</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45637</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45637</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45637</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45637</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45637</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45637</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45637</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45637</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45637</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45637</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45637</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45637</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45637</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45637</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45637</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45637</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45637</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45637</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45637</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45637</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45637</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45637</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45637</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45637</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45637</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45637</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45637</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45637</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45637</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45637</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45637</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45637</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45637</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45637</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45637</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45637</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45637</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45637</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45637</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45637</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45637</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45637</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45637</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45637</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45637</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45637</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45637</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45637</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45637</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45637</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45637</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45637</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45637</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45637</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45637</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45637</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45637</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45637</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45637</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45637</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45637</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45637</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45637</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45637</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45637</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45637</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45637</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45637</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45637</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45637</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45637</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45637</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45637</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45637</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45637</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45637</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45637</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45637</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45637</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45637</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45637</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45637</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45637</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45637</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45637</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45637</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45637</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45637</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45637</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45637</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45637</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45637</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45637</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45637</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45637</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45637</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45637</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45637</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45637</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45637</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45637</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45637</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45637</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45637</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45637</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45637</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45637</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45637</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45637</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45637</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45637</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45637</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45637</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45637</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45637</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45637</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45637</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45637</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45637</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45637</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45637</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45637</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45637</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45637</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45637</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45637</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45637</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45637</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45637</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45637</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45637</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45637</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45637</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45637</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45637</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45637</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45637</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45637</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45637</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45637</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45637</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45637</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45637</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45637</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45637</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45637</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45637</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45637</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45637</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45637</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45637</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45637</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45637</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45637</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45637</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45637</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45637</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45637</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45637</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45637</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45637</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45637</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45637</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45637</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45637</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45637</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45637</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45637</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45637</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45637</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45637</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45637</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45637</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45637</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45637</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45637</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45637</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45637</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45637</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45637</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45637</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45637</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45637</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45637</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45637</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45637</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45637</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45637</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45637</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45637</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45637</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45637</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45637</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45637</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45637</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45637</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45637</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45637</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45637</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45637</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45637</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45637</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45637</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45637</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45637</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45637</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45637</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45637</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45637</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45637</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45637</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45637</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45637</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45637</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45637</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45637</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45637</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45637</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45637</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45637</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45637</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45637</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45637</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45637</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45637</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45637</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45637</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45637</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45637</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45637</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45637</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45637</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45637</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45637</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45637</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45637</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45637</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45637</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45637</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45637</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45637</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45637</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45637</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45637</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45637</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45637</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45637</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45637</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45637</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45637</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45637</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45637</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45637</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45637</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45637</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45637</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45637</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45637</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45637</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45637</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45637</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45637</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45637</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45637</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45637</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45637</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45637</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45637</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45637</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45637</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45637</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45637</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45637</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45637</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45637</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45637</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45637</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45637</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45637</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45637</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45637</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45637</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45637</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45637</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45637</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45637</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45637</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45637</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45637</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45637</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45637</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45637</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45637</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45637</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45637</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45637</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45637</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45637</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45637</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45637</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45637</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45637</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45637</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45637</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45637</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45637</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45637</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45637</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45637</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45637</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45637</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45637</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45637</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45637</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45637</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45637</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45637</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45637</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45637</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45637</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45637</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45637</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45637</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45637</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45637</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45637</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45637</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45637</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45637</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45637</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45637</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45637</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45637</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45637</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45637</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45637</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45637</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45637</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45637</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45637</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45637</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45637</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45637</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45637</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45637</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45637</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45637</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45637</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45637</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45637</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45637</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45637</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45637</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45637</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45637</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45637</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45637</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45637</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45637</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45637</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45637</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45637</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45637</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45637</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45637</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45637</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45637</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45637</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45637</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45637</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45637</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45637</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45637</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45637</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45637</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45637</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45637</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45637</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45637</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45637</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45637</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45637</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45637</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45637</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45637</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45637</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45637</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45637</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45637</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45637</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45637</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45637</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45637</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45637</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45637</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45637</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45637</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45637</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45637</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45637</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45637</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45637</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45637</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45637</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45637</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45637</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45637</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45637</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45637</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45637</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45637</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45637</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45637</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45637</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45637</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45637</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45637</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45637</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45637</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45637</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45637</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45637</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45637</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45637</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45637</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45637</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45637</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45637</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45637</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45637</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45637</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45637</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45637</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45637</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45637</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45637</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45637</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45637</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45637</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45637</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45637</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45637</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52966-2024</t>
        </is>
      </c>
      <c r="B767" s="1" t="n">
        <v>45611</v>
      </c>
      <c r="C767" s="1" t="n">
        <v>45637</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52963-2024</t>
        </is>
      </c>
      <c r="B768" s="1" t="n">
        <v>45611</v>
      </c>
      <c r="C768" s="1" t="n">
        <v>45637</v>
      </c>
      <c r="D768" t="inlineStr">
        <is>
          <t>KALMAR LÄN</t>
        </is>
      </c>
      <c r="E768" t="inlineStr">
        <is>
          <t>MÖNSTERÅS</t>
        </is>
      </c>
      <c r="G768" t="n">
        <v>2</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45637</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53371-2024</t>
        </is>
      </c>
      <c r="B770" s="1" t="n">
        <v>45614</v>
      </c>
      <c r="C770" s="1" t="n">
        <v>45637</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53352-2024</t>
        </is>
      </c>
      <c r="B771" s="1" t="n">
        <v>45614</v>
      </c>
      <c r="C771" s="1" t="n">
        <v>45637</v>
      </c>
      <c r="D771" t="inlineStr">
        <is>
          <t>KALMAR LÄN</t>
        </is>
      </c>
      <c r="E771" t="inlineStr">
        <is>
          <t>MÖNSTERÅS</t>
        </is>
      </c>
      <c r="G771" t="n">
        <v>2.2</v>
      </c>
      <c r="H771" t="n">
        <v>0</v>
      </c>
      <c r="I771" t="n">
        <v>0</v>
      </c>
      <c r="J771" t="n">
        <v>0</v>
      </c>
      <c r="K771" t="n">
        <v>0</v>
      </c>
      <c r="L771" t="n">
        <v>0</v>
      </c>
      <c r="M771" t="n">
        <v>0</v>
      </c>
      <c r="N771" t="n">
        <v>0</v>
      </c>
      <c r="O771" t="n">
        <v>0</v>
      </c>
      <c r="P771" t="n">
        <v>0</v>
      </c>
      <c r="Q771" t="n">
        <v>0</v>
      </c>
      <c r="R771" s="2" t="inlineStr"/>
    </row>
    <row r="772" ht="15" customHeight="1">
      <c r="A772" t="inlineStr">
        <is>
          <t>A 53518-2024</t>
        </is>
      </c>
      <c r="B772" s="1" t="n">
        <v>45614</v>
      </c>
      <c r="C772" s="1" t="n">
        <v>45637</v>
      </c>
      <c r="D772" t="inlineStr">
        <is>
          <t>KALMAR LÄN</t>
        </is>
      </c>
      <c r="E772" t="inlineStr">
        <is>
          <t>MÖNSTERÅS</t>
        </is>
      </c>
      <c r="G772" t="n">
        <v>3.2</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45637</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45637</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55458-2024</t>
        </is>
      </c>
      <c r="B775" s="1" t="n">
        <v>45622</v>
      </c>
      <c r="C775" s="1" t="n">
        <v>45637</v>
      </c>
      <c r="D775" t="inlineStr">
        <is>
          <t>KALMAR LÄN</t>
        </is>
      </c>
      <c r="E775" t="inlineStr">
        <is>
          <t>MÖNSTERÅS</t>
        </is>
      </c>
      <c r="G775" t="n">
        <v>1.6</v>
      </c>
      <c r="H775" t="n">
        <v>0</v>
      </c>
      <c r="I775" t="n">
        <v>0</v>
      </c>
      <c r="J775" t="n">
        <v>0</v>
      </c>
      <c r="K775" t="n">
        <v>0</v>
      </c>
      <c r="L775" t="n">
        <v>0</v>
      </c>
      <c r="M775" t="n">
        <v>0</v>
      </c>
      <c r="N775" t="n">
        <v>0</v>
      </c>
      <c r="O775" t="n">
        <v>0</v>
      </c>
      <c r="P775" t="n">
        <v>0</v>
      </c>
      <c r="Q775" t="n">
        <v>0</v>
      </c>
      <c r="R775" s="2" t="inlineStr"/>
    </row>
    <row r="776" ht="15" customHeight="1">
      <c r="A776" t="inlineStr">
        <is>
          <t>A 55448-2024</t>
        </is>
      </c>
      <c r="B776" s="1" t="n">
        <v>45622</v>
      </c>
      <c r="C776" s="1" t="n">
        <v>45637</v>
      </c>
      <c r="D776" t="inlineStr">
        <is>
          <t>KALMAR LÄN</t>
        </is>
      </c>
      <c r="E776" t="inlineStr">
        <is>
          <t>MÖNSTERÅS</t>
        </is>
      </c>
      <c r="G776" t="n">
        <v>0.7</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45637</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56844-2024</t>
        </is>
      </c>
      <c r="B778" s="1" t="n">
        <v>45628</v>
      </c>
      <c r="C778" s="1" t="n">
        <v>45637</v>
      </c>
      <c r="D778" t="inlineStr">
        <is>
          <t>KALMAR LÄN</t>
        </is>
      </c>
      <c r="E778" t="inlineStr">
        <is>
          <t>MÖNSTERÅS</t>
        </is>
      </c>
      <c r="G778" t="n">
        <v>0.7</v>
      </c>
      <c r="H778" t="n">
        <v>0</v>
      </c>
      <c r="I778" t="n">
        <v>0</v>
      </c>
      <c r="J778" t="n">
        <v>0</v>
      </c>
      <c r="K778" t="n">
        <v>0</v>
      </c>
      <c r="L778" t="n">
        <v>0</v>
      </c>
      <c r="M778" t="n">
        <v>0</v>
      </c>
      <c r="N778" t="n">
        <v>0</v>
      </c>
      <c r="O778" t="n">
        <v>0</v>
      </c>
      <c r="P778" t="n">
        <v>0</v>
      </c>
      <c r="Q778" t="n">
        <v>0</v>
      </c>
      <c r="R778" s="2" t="inlineStr"/>
    </row>
    <row r="779" ht="15" customHeight="1">
      <c r="A779" t="inlineStr">
        <is>
          <t>A 56839-2024</t>
        </is>
      </c>
      <c r="B779" s="1" t="n">
        <v>45628</v>
      </c>
      <c r="C779" s="1" t="n">
        <v>45637</v>
      </c>
      <c r="D779" t="inlineStr">
        <is>
          <t>KALMAR LÄN</t>
        </is>
      </c>
      <c r="E779" t="inlineStr">
        <is>
          <t>MÖNSTERÅS</t>
        </is>
      </c>
      <c r="G779" t="n">
        <v>5.8</v>
      </c>
      <c r="H779" t="n">
        <v>0</v>
      </c>
      <c r="I779" t="n">
        <v>0</v>
      </c>
      <c r="J779" t="n">
        <v>0</v>
      </c>
      <c r="K779" t="n">
        <v>0</v>
      </c>
      <c r="L779" t="n">
        <v>0</v>
      </c>
      <c r="M779" t="n">
        <v>0</v>
      </c>
      <c r="N779" t="n">
        <v>0</v>
      </c>
      <c r="O779" t="n">
        <v>0</v>
      </c>
      <c r="P779" t="n">
        <v>0</v>
      </c>
      <c r="Q779" t="n">
        <v>0</v>
      </c>
      <c r="R779" s="2" t="inlineStr"/>
    </row>
    <row r="780">
      <c r="A780" t="inlineStr">
        <is>
          <t>A 57964-2024</t>
        </is>
      </c>
      <c r="B780" s="1" t="n">
        <v>45631</v>
      </c>
      <c r="C780" s="1" t="n">
        <v>45637</v>
      </c>
      <c r="D780" t="inlineStr">
        <is>
          <t>KALMAR LÄN</t>
        </is>
      </c>
      <c r="E780" t="inlineStr">
        <is>
          <t>MÖNSTERÅS</t>
        </is>
      </c>
      <c r="F780" t="inlineStr">
        <is>
          <t>Övriga Aktiebolag</t>
        </is>
      </c>
      <c r="G780" t="n">
        <v>4.3</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2024-12-11T15:11:39Z</dcterms:created>
  <dcterms:modified xmlns:dcterms="http://purl.org/dc/terms/" xmlns:xsi="http://www.w3.org/2001/XMLSchema-instance" xsi:type="dcterms:W3CDTF">2024-12-11T15:11:40Z</dcterms:modified>
</cp:coreProperties>
</file>
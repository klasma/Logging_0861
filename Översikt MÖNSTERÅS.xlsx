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45834</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45834</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45834</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45834</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45834</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45834</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45834</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45834</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45834</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34721-2024</t>
        </is>
      </c>
      <c r="B16" s="1" t="n">
        <v>45526</v>
      </c>
      <c r="C16" s="1" t="n">
        <v>45834</v>
      </c>
      <c r="D16" t="inlineStr">
        <is>
          <t>KALMAR LÄN</t>
        </is>
      </c>
      <c r="E16" t="inlineStr">
        <is>
          <t>MÖNSTERÅS</t>
        </is>
      </c>
      <c r="F16" t="inlineStr">
        <is>
          <t>Kommuner</t>
        </is>
      </c>
      <c r="G16" t="n">
        <v>9.5</v>
      </c>
      <c r="H16" t="n">
        <v>1</v>
      </c>
      <c r="I16" t="n">
        <v>2</v>
      </c>
      <c r="J16" t="n">
        <v>3</v>
      </c>
      <c r="K16" t="n">
        <v>2</v>
      </c>
      <c r="L16" t="n">
        <v>1</v>
      </c>
      <c r="M16" t="n">
        <v>0</v>
      </c>
      <c r="N16" t="n">
        <v>0</v>
      </c>
      <c r="O16" t="n">
        <v>6</v>
      </c>
      <c r="P16" t="n">
        <v>3</v>
      </c>
      <c r="Q16" t="n">
        <v>8</v>
      </c>
      <c r="R16" s="2" t="inlineStr">
        <is>
          <t>Bredbandad ekbarkbock
Mörk spegelbock
Orangefläckig brunbagge
Ekgetingbock
Ekträdlöpare
Spillkråka
Lindbock
Spindelbock</t>
        </is>
      </c>
      <c r="S16">
        <f>HYPERLINK("https://klasma.github.io/Logging_0861/artfynd/A 34721-2024 artfynd.xlsx", "A 34721-2024")</f>
        <v/>
      </c>
      <c r="T16">
        <f>HYPERLINK("https://klasma.github.io/Logging_0861/kartor/A 34721-2024 karta.png", "A 34721-2024")</f>
        <v/>
      </c>
      <c r="V16">
        <f>HYPERLINK("https://klasma.github.io/Logging_0861/klagomål/A 34721-2024 FSC-klagomål.docx", "A 34721-2024")</f>
        <v/>
      </c>
      <c r="W16">
        <f>HYPERLINK("https://klasma.github.io/Logging_0861/klagomålsmail/A 34721-2024 FSC-klagomål mail.docx", "A 34721-2024")</f>
        <v/>
      </c>
      <c r="X16">
        <f>HYPERLINK("https://klasma.github.io/Logging_0861/tillsyn/A 34721-2024 tillsynsbegäran.docx", "A 34721-2024")</f>
        <v/>
      </c>
      <c r="Y16">
        <f>HYPERLINK("https://klasma.github.io/Logging_0861/tillsynsmail/A 34721-2024 tillsynsbegäran mail.docx", "A 34721-2024")</f>
        <v/>
      </c>
      <c r="Z16">
        <f>HYPERLINK("https://klasma.github.io/Logging_0861/fåglar/A 34721-2024 prioriterade fågelarter.docx", "A 34721-2024")</f>
        <v/>
      </c>
    </row>
    <row r="17" ht="15" customHeight="1">
      <c r="A17" t="inlineStr">
        <is>
          <t>A 39281-2022</t>
        </is>
      </c>
      <c r="B17" s="1" t="n">
        <v>44817</v>
      </c>
      <c r="C17" s="1" t="n">
        <v>45834</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45834</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45834</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45834</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45834</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45834</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45834</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45834</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45834</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45834</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45834</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45834</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45834</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45834</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45834</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45834</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45834</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45834</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45834</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45834</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45834</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45834</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45834</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45834</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45834</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45834</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45834</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45834</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45834</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45834</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45834</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45834</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45834</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45834</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45834</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45834</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45834</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45834</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45834</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45834</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45834</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45834</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45834</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45834</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45834</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45834</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45834</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45834</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45834</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45834</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45834</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45834</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45834</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45834</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45834</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45834</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45834</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45834</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45834</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45834</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45834</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45834</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45834</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45834</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45834</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45834</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45834</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45834</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45834</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45834</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45834</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45834</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45834</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45834</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45834</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45834</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45834</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45834</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45834</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45834</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45834</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45834</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45834</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45834</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45834</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45834</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45834</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45834</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45834</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45834</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45834</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45834</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45834</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45834</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45834</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45834</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45834</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45834</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45834</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45834</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45834</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45834</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45834</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45834</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45834</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45834</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45834</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45834</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45834</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45834</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45834</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45834</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45834</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45834</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45834</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45834</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45834</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45834</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45834</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45834</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45834</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45834</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45834</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45834</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45834</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45834</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45834</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45834</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45834</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45834</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45834</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45834</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45834</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45834</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45834</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45834</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45834</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45834</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45834</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45834</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45834</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45834</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45834</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45834</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45834</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45834</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45834</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45834</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45834</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45834</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45834</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45834</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45834</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45834</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45834</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45834</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45834</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45834</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45834</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45834</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45834</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45834</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45834</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45834</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45834</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45834</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45834</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45834</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45834</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45834</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45834</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45834</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45834</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45834</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45834</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45834</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45834</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45834</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45834</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45834</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45834</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45834</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45834</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45834</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45834</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45834</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45834</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45834</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45834</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45834</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45834</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45834</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45834</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45834</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45834</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45834</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45834</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45834</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45834</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45834</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45834</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45834</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45834</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45834</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45834</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45834</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45834</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45834</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45834</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45834</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45834</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45834</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45834</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45834</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45834</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45834</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45834</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45834</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45834</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45834</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45834</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45834</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45834</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45834</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45834</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45834</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45834</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45834</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45834</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45834</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45834</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45834</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45834</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45834</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45834</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45834</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45834</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45834</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45834</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45834</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45834</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45834</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45834</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45834</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45834</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45834</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45834</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45834</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45834</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45834</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45834</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45834</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45834</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45834</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45834</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45834</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45834</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45834</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45834</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45834</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45834</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45834</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45834</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45834</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45834</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45834</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45834</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45834</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45834</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45834</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45834</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45834</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45834</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45834</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45834</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45834</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45834</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45834</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45834</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45834</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45834</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45834</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45834</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45834</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45834</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45834</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45834</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45834</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45834</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45834</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45834</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45834</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45834</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45834</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45834</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45834</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45834</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45834</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45834</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45834</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45834</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45834</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45834</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45834</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45834</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45834</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45834</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45834</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45834</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45834</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45834</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45834</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45834</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45834</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45834</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45834</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45834</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45834</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45834</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45834</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45834</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45834</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45834</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45834</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45834</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45834</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45834</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45834</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45834</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45834</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45834</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45834</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45834</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45834</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45834</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45834</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45834</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45834</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45834</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45834</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45834</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45834</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45834</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45834</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45834</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45834</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45834</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45834</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45834</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45834</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45834</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45834</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45834</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45834</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45834</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45834</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45834</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45834</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45834</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45834</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45834</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45834</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45834</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45834</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45834</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45834</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45834</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45834</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45834</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45834</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45834</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45834</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45834</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45834</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45834</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45834</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45834</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45834</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45834</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45834</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45834</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45834</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45834</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45834</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45834</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45834</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45834</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45834</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45834</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45834</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45834</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45834</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45834</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45834</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45834</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45834</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45834</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45834</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45834</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45834</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45834</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45834</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45834</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45834</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45834</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45834</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45834</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45834</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45834</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45834</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45834</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45834</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45834</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45834</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45834</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45834</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45834</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45834</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45834</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45834</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45834</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45834</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45834</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45834</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45834</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45834</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45834</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45834</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45834</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45834</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45834</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45834</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45834</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45834</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45834</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45834</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45834</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45834</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45834</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45834</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45834</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45834</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45834</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45834</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45834</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45834</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45834</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45834</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45834</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45834</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45834</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45834</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45834</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45834</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45834</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45834</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45834</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45834</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45834</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45834</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45834</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45834</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45834</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45834</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45834</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45834</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45834</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45834</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45834</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45834</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45834</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45834</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45834</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45834</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45834</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45834</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45834</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45834</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45834</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45834</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45834</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45834</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45834</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45834</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45834</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45834</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45834</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45834</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45834</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45834</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45834</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45834</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45834</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45834</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45834</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45834</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45834</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45834</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45834</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45834</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45834</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45834</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45834</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45834</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45834</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45834</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45834</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45834</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45834</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45834</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45834</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45834</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45834</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45834</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45834</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45834</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45834</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45834</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45834</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45834</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45834</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45834</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45834</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45834</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45834</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45834</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45834</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45834</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45834</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45834</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45834</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45834</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45834</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45834</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45834</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45834</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45834</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45834</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45834</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45834</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45834</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45834</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45834</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45834</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45834</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45834</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45834</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45834</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45834</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45834</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45834</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45834</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45834</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45834</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45834</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45834</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45834</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45834</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45834</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45834</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45834</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45834</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45834</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45834</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45834</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45834</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45834</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45834</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45834</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45834</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45834</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45834</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45834</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45834</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45834</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45834</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45834</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45834</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45834</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45834</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45834</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45834</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45834</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45834</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45834</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45834</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45834</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45834</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45834</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45834</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45834</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45834</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45834</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45834</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45834</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45834</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45834</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45834</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45834</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45834</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45834</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45834</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45834</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45834</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45834</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45834</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45834</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45834</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45834</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45834</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45834</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45834</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45834</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45834</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45834</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45834</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45834</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45834</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45834</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45834</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45834</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45834</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45834</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45834</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45834</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45834</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45834</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45834</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45834</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45834</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45834</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45834</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45834</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45834</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45834</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45834</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45834</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45834</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45834</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45834</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45834</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45834</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45834</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45834</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45834</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45834</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45834</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45834</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45834</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45834</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45834</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45834</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45834</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45834</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45834</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45834</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45834</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45834</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45834</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45834</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45834</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45834</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45834</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45834</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45834</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45834</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45834</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45834</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45834</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45834</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45834</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45834</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45834</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45834</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45834</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45834</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45834</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45834</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45834</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45834</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45834</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45834</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45834</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45834</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45834</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45834</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45834</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45834</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45834</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45834</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45834</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45834</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45834</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45834</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45834</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45834</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45834</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45834</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45834</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45834</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45834</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45834</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45834</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45834</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45834</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45834</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45834</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45834</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45834</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45834</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45834</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45834</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45834</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45834</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45834</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45834</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45834</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45834</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45834</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45834</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45834</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45834</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45834</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45834</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45834</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45834</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45834</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45834</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45834</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45834</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45834</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45834</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45834</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45834</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45834</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45834</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45834</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45834</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45834</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45834</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45834</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45834</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45834</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45834</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45834</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45834</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45834</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45834</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45834</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45834</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45834</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45834</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45834</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45834</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45834</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45834</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45834</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45834</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45834</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45834</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45834</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45834</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45834</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45834</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45834</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45834</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45834</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45834</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45834</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45834</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45834</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45834</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45834</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45834</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45834</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45834</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45834</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45834</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45834</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45834</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45834</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45834</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45834</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45834</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45834</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45834</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45834</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45834</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45834</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45834</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45834</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45834</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45834</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45834</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45834</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45834</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45834</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45834</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45834</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45834</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45834</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45834</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45834</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45834</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45834</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45834</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45834</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45834</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45834</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45834</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45834</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45834</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45834</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45834</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45834</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45834</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45834</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45834</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45834</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45834</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45834</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45834</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45834</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45834</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45834</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45834</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45834</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45834</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45834</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45834</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45834</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45834</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45834</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45834</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45834</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45834</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45834</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45834</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45834</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45834</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45834</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45834</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45834</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45834</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45834</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26157-2025</t>
        </is>
      </c>
      <c r="B862" s="1" t="n">
        <v>45805</v>
      </c>
      <c r="C862" s="1" t="n">
        <v>45834</v>
      </c>
      <c r="D862" t="inlineStr">
        <is>
          <t>KALMAR LÄN</t>
        </is>
      </c>
      <c r="E862" t="inlineStr">
        <is>
          <t>MÖNSTERÅS</t>
        </is>
      </c>
      <c r="G862" t="n">
        <v>3.8</v>
      </c>
      <c r="H862" t="n">
        <v>0</v>
      </c>
      <c r="I862" t="n">
        <v>0</v>
      </c>
      <c r="J862" t="n">
        <v>0</v>
      </c>
      <c r="K862" t="n">
        <v>0</v>
      </c>
      <c r="L862" t="n">
        <v>0</v>
      </c>
      <c r="M862" t="n">
        <v>0</v>
      </c>
      <c r="N862" t="n">
        <v>0</v>
      </c>
      <c r="O862" t="n">
        <v>0</v>
      </c>
      <c r="P862" t="n">
        <v>0</v>
      </c>
      <c r="Q862" t="n">
        <v>0</v>
      </c>
      <c r="R862" s="2" t="inlineStr"/>
    </row>
    <row r="863" ht="15" customHeight="1">
      <c r="A863" t="inlineStr">
        <is>
          <t>A 26145-2025</t>
        </is>
      </c>
      <c r="B863" s="1" t="n">
        <v>45805</v>
      </c>
      <c r="C863" s="1" t="n">
        <v>45834</v>
      </c>
      <c r="D863" t="inlineStr">
        <is>
          <t>KALMAR LÄN</t>
        </is>
      </c>
      <c r="E863" t="inlineStr">
        <is>
          <t>MÖNSTERÅS</t>
        </is>
      </c>
      <c r="G863" t="n">
        <v>1.4</v>
      </c>
      <c r="H863" t="n">
        <v>0</v>
      </c>
      <c r="I863" t="n">
        <v>0</v>
      </c>
      <c r="J863" t="n">
        <v>0</v>
      </c>
      <c r="K863" t="n">
        <v>0</v>
      </c>
      <c r="L863" t="n">
        <v>0</v>
      </c>
      <c r="M863" t="n">
        <v>0</v>
      </c>
      <c r="N863" t="n">
        <v>0</v>
      </c>
      <c r="O863" t="n">
        <v>0</v>
      </c>
      <c r="P863" t="n">
        <v>0</v>
      </c>
      <c r="Q863" t="n">
        <v>0</v>
      </c>
      <c r="R863" s="2" t="inlineStr"/>
    </row>
    <row r="864" ht="15" customHeight="1">
      <c r="A864" t="inlineStr">
        <is>
          <t>A 26171-2025</t>
        </is>
      </c>
      <c r="B864" s="1" t="n">
        <v>45805</v>
      </c>
      <c r="C864" s="1" t="n">
        <v>45834</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45834</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ht="15" customHeight="1">
      <c r="A866" t="inlineStr">
        <is>
          <t>A 26349-2025</t>
        </is>
      </c>
      <c r="B866" s="1" t="n">
        <v>45805</v>
      </c>
      <c r="C866" s="1" t="n">
        <v>45834</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45834</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45834</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28699-2025</t>
        </is>
      </c>
      <c r="B869" s="1" t="n">
        <v>45820</v>
      </c>
      <c r="C869" s="1" t="n">
        <v>45834</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row r="870" ht="15" customHeight="1">
      <c r="A870" t="inlineStr">
        <is>
          <t>A 30574-2025</t>
        </is>
      </c>
      <c r="B870" s="1" t="n">
        <v>45831</v>
      </c>
      <c r="C870" s="1" t="n">
        <v>45834</v>
      </c>
      <c r="D870" t="inlineStr">
        <is>
          <t>KALMAR LÄN</t>
        </is>
      </c>
      <c r="E870" t="inlineStr">
        <is>
          <t>MÖNSTERÅS</t>
        </is>
      </c>
      <c r="G870" t="n">
        <v>1.2</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45834</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31016-2025</t>
        </is>
      </c>
      <c r="B872" s="1" t="n">
        <v>45832</v>
      </c>
      <c r="C872" s="1" t="n">
        <v>45834</v>
      </c>
      <c r="D872" t="inlineStr">
        <is>
          <t>KALMAR LÄN</t>
        </is>
      </c>
      <c r="E872" t="inlineStr">
        <is>
          <t>MÖNSTERÅS</t>
        </is>
      </c>
      <c r="G872" t="n">
        <v>3.1</v>
      </c>
      <c r="H872" t="n">
        <v>0</v>
      </c>
      <c r="I872" t="n">
        <v>0</v>
      </c>
      <c r="J872" t="n">
        <v>0</v>
      </c>
      <c r="K872" t="n">
        <v>0</v>
      </c>
      <c r="L872" t="n">
        <v>0</v>
      </c>
      <c r="M872" t="n">
        <v>0</v>
      </c>
      <c r="N872" t="n">
        <v>0</v>
      </c>
      <c r="O872" t="n">
        <v>0</v>
      </c>
      <c r="P872" t="n">
        <v>0</v>
      </c>
      <c r="Q872" t="n">
        <v>0</v>
      </c>
      <c r="R872" s="2" t="inlineStr"/>
    </row>
    <row r="873">
      <c r="A873" t="inlineStr">
        <is>
          <t>A 31373-2025</t>
        </is>
      </c>
      <c r="B873" s="1" t="n">
        <v>45833</v>
      </c>
      <c r="C873" s="1" t="n">
        <v>45834</v>
      </c>
      <c r="D873" t="inlineStr">
        <is>
          <t>KALMAR LÄN</t>
        </is>
      </c>
      <c r="E873" t="inlineStr">
        <is>
          <t>MÖNSTERÅS</t>
        </is>
      </c>
      <c r="G873" t="n">
        <v>4.2</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2025-06-26T19:17:56Z</dcterms:created>
  <dcterms:modified xmlns:dcterms="http://purl.org/dc/terms/" xmlns:xsi="http://www.w3.org/2001/XMLSchema-instance" xsi:type="dcterms:W3CDTF">2025-06-26T19:17:56Z</dcterms:modified>
</cp:coreProperties>
</file>
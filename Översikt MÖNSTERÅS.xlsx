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45670</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45670</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45670</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45670</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45670</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45670</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61003-2024</t>
        </is>
      </c>
      <c r="B8" s="1" t="n">
        <v>45645</v>
      </c>
      <c r="C8" s="1" t="n">
        <v>45670</v>
      </c>
      <c r="D8" t="inlineStr">
        <is>
          <t>KALMAR LÄN</t>
        </is>
      </c>
      <c r="E8" t="inlineStr">
        <is>
          <t>MÖNSTERÅS</t>
        </is>
      </c>
      <c r="F8" t="inlineStr">
        <is>
          <t>Kommuner</t>
        </is>
      </c>
      <c r="G8" t="n">
        <v>6</v>
      </c>
      <c r="H8" t="n">
        <v>10</v>
      </c>
      <c r="I8" t="n">
        <v>0</v>
      </c>
      <c r="J8" t="n">
        <v>4</v>
      </c>
      <c r="K8" t="n">
        <v>1</v>
      </c>
      <c r="L8" t="n">
        <v>0</v>
      </c>
      <c r="M8" t="n">
        <v>0</v>
      </c>
      <c r="N8" t="n">
        <v>0</v>
      </c>
      <c r="O8" t="n">
        <v>5</v>
      </c>
      <c r="P8" t="n">
        <v>1</v>
      </c>
      <c r="Q8" t="n">
        <v>10</v>
      </c>
      <c r="R8" s="2" t="inlineStr">
        <is>
          <t>Knärot
Barbastell
Brunlångöra
Nordfladdermus
Spillkråka
Dvärgpipistrell
Gråskimlig fladdermus
Större brunfladdermus
Tjäder
Trollpipistrell</t>
        </is>
      </c>
      <c r="S8">
        <f>HYPERLINK("https://klasma.github.io/Logging_0861/artfynd/A 61003-2024 artfynd.xlsx", "A 61003-2024")</f>
        <v/>
      </c>
      <c r="T8">
        <f>HYPERLINK("https://klasma.github.io/Logging_0861/kartor/A 61003-2024 karta.png", "A 61003-2024")</f>
        <v/>
      </c>
      <c r="U8">
        <f>HYPERLINK("https://klasma.github.io/Logging_0861/knärot/A 61003-2024 karta knärot.png", "A 61003-2024")</f>
        <v/>
      </c>
      <c r="V8">
        <f>HYPERLINK("https://klasma.github.io/Logging_0861/klagomål/A 61003-2024 FSC-klagomål.docx", "A 61003-2024")</f>
        <v/>
      </c>
      <c r="W8">
        <f>HYPERLINK("https://klasma.github.io/Logging_0861/klagomålsmail/A 61003-2024 FSC-klagomål mail.docx", "A 61003-2024")</f>
        <v/>
      </c>
      <c r="X8">
        <f>HYPERLINK("https://klasma.github.io/Logging_0861/tillsyn/A 61003-2024 tillsynsbegäran.docx", "A 61003-2024")</f>
        <v/>
      </c>
      <c r="Y8">
        <f>HYPERLINK("https://klasma.github.io/Logging_0861/tillsynsmail/A 61003-2024 tillsynsbegäran mail.docx", "A 61003-2024")</f>
        <v/>
      </c>
      <c r="Z8">
        <f>HYPERLINK("https://klasma.github.io/Logging_0861/fåglar/A 61003-2024 prioriterade fågelarter.docx", "A 61003-2024")</f>
        <v/>
      </c>
    </row>
    <row r="9" ht="15" customHeight="1">
      <c r="A9" t="inlineStr">
        <is>
          <t>A 7475-2023</t>
        </is>
      </c>
      <c r="B9" s="1" t="n">
        <v>44971</v>
      </c>
      <c r="C9" s="1" t="n">
        <v>45670</v>
      </c>
      <c r="D9" t="inlineStr">
        <is>
          <t>KALMAR LÄN</t>
        </is>
      </c>
      <c r="E9" t="inlineStr">
        <is>
          <t>MÖNSTERÅS</t>
        </is>
      </c>
      <c r="G9" t="n">
        <v>3.3</v>
      </c>
      <c r="H9" t="n">
        <v>3</v>
      </c>
      <c r="I9" t="n">
        <v>3</v>
      </c>
      <c r="J9" t="n">
        <v>4</v>
      </c>
      <c r="K9" t="n">
        <v>2</v>
      </c>
      <c r="L9" t="n">
        <v>0</v>
      </c>
      <c r="M9" t="n">
        <v>0</v>
      </c>
      <c r="N9" t="n">
        <v>0</v>
      </c>
      <c r="O9" t="n">
        <v>6</v>
      </c>
      <c r="P9" t="n">
        <v>2</v>
      </c>
      <c r="Q9" t="n">
        <v>9</v>
      </c>
      <c r="R9" s="2" t="inlineStr">
        <is>
          <t>Knärot
Rynkskinn
Grönsångare
Spillkråka
Tallticka
Ullticka
Blåmossa
Grovticka
Grönpyrola</t>
        </is>
      </c>
      <c r="S9">
        <f>HYPERLINK("https://klasma.github.io/Logging_0861/artfynd/A 7475-2023 artfynd.xlsx", "A 7475-2023")</f>
        <v/>
      </c>
      <c r="T9">
        <f>HYPERLINK("https://klasma.github.io/Logging_0861/kartor/A 7475-2023 karta.png", "A 7475-2023")</f>
        <v/>
      </c>
      <c r="U9">
        <f>HYPERLINK("https://klasma.github.io/Logging_0861/knärot/A 7475-2023 karta knärot.png", "A 7475-2023")</f>
        <v/>
      </c>
      <c r="V9">
        <f>HYPERLINK("https://klasma.github.io/Logging_0861/klagomål/A 7475-2023 FSC-klagomål.docx", "A 7475-2023")</f>
        <v/>
      </c>
      <c r="W9">
        <f>HYPERLINK("https://klasma.github.io/Logging_0861/klagomålsmail/A 7475-2023 FSC-klagomål mail.docx", "A 7475-2023")</f>
        <v/>
      </c>
      <c r="X9">
        <f>HYPERLINK("https://klasma.github.io/Logging_0861/tillsyn/A 7475-2023 tillsynsbegäran.docx", "A 7475-2023")</f>
        <v/>
      </c>
      <c r="Y9">
        <f>HYPERLINK("https://klasma.github.io/Logging_0861/tillsynsmail/A 7475-2023 tillsynsbegäran mail.docx", "A 7475-2023")</f>
        <v/>
      </c>
      <c r="Z9">
        <f>HYPERLINK("https://klasma.github.io/Logging_0861/fåglar/A 7475-2023 prioriterade fågelarter.docx", "A 7475-2023")</f>
        <v/>
      </c>
    </row>
    <row r="10" ht="15" customHeight="1">
      <c r="A10" t="inlineStr">
        <is>
          <t>A 57473-2023</t>
        </is>
      </c>
      <c r="B10" s="1" t="n">
        <v>45246</v>
      </c>
      <c r="C10" s="1" t="n">
        <v>45670</v>
      </c>
      <c r="D10" t="inlineStr">
        <is>
          <t>KALMAR LÄN</t>
        </is>
      </c>
      <c r="E10" t="inlineStr">
        <is>
          <t>MÖNSTERÅS</t>
        </is>
      </c>
      <c r="G10" t="n">
        <v>6.1</v>
      </c>
      <c r="H10" t="n">
        <v>8</v>
      </c>
      <c r="I10" t="n">
        <v>1</v>
      </c>
      <c r="J10" t="n">
        <v>4</v>
      </c>
      <c r="K10" t="n">
        <v>1</v>
      </c>
      <c r="L10" t="n">
        <v>0</v>
      </c>
      <c r="M10" t="n">
        <v>0</v>
      </c>
      <c r="N10" t="n">
        <v>0</v>
      </c>
      <c r="O10" t="n">
        <v>5</v>
      </c>
      <c r="P10" t="n">
        <v>1</v>
      </c>
      <c r="Q10" t="n">
        <v>9</v>
      </c>
      <c r="R10" s="2" t="inlineStr">
        <is>
          <t>Knärot
Barbastell
Brunlångöra
Nordfladdermus
Spillkråka
Blåmossa
Dvärgpipistrell
Större brunfladdermus
Trollpipistrell</t>
        </is>
      </c>
      <c r="S10">
        <f>HYPERLINK("https://klasma.github.io/Logging_0861/artfynd/A 57473-2023 artfynd.xlsx", "A 57473-2023")</f>
        <v/>
      </c>
      <c r="T10">
        <f>HYPERLINK("https://klasma.github.io/Logging_0861/kartor/A 57473-2023 karta.png", "A 57473-2023")</f>
        <v/>
      </c>
      <c r="U10">
        <f>HYPERLINK("https://klasma.github.io/Logging_0861/knärot/A 57473-2023 karta knärot.png", "A 57473-2023")</f>
        <v/>
      </c>
      <c r="V10">
        <f>HYPERLINK("https://klasma.github.io/Logging_0861/klagomål/A 57473-2023 FSC-klagomål.docx", "A 57473-2023")</f>
        <v/>
      </c>
      <c r="W10">
        <f>HYPERLINK("https://klasma.github.io/Logging_0861/klagomålsmail/A 57473-2023 FSC-klagomål mail.docx", "A 57473-2023")</f>
        <v/>
      </c>
      <c r="X10">
        <f>HYPERLINK("https://klasma.github.io/Logging_0861/tillsyn/A 57473-2023 tillsynsbegäran.docx", "A 57473-2023")</f>
        <v/>
      </c>
      <c r="Y10">
        <f>HYPERLINK("https://klasma.github.io/Logging_0861/tillsynsmail/A 57473-2023 tillsynsbegäran mail.docx", "A 57473-2023")</f>
        <v/>
      </c>
      <c r="Z10">
        <f>HYPERLINK("https://klasma.github.io/Logging_0861/fåglar/A 57473-2023 prioriterade fågelarter.docx", "A 57473-2023")</f>
        <v/>
      </c>
    </row>
    <row r="11" ht="15" customHeight="1">
      <c r="A11" t="inlineStr">
        <is>
          <t>A 22913-2024</t>
        </is>
      </c>
      <c r="B11" s="1" t="n">
        <v>45448</v>
      </c>
      <c r="C11" s="1" t="n">
        <v>45670</v>
      </c>
      <c r="D11" t="inlineStr">
        <is>
          <t>KALMAR LÄN</t>
        </is>
      </c>
      <c r="E11" t="inlineStr">
        <is>
          <t>MÖNSTERÅS</t>
        </is>
      </c>
      <c r="G11" t="n">
        <v>14.7</v>
      </c>
      <c r="H11" t="n">
        <v>5</v>
      </c>
      <c r="I11" t="n">
        <v>4</v>
      </c>
      <c r="J11" t="n">
        <v>3</v>
      </c>
      <c r="K11" t="n">
        <v>1</v>
      </c>
      <c r="L11" t="n">
        <v>0</v>
      </c>
      <c r="M11" t="n">
        <v>0</v>
      </c>
      <c r="N11" t="n">
        <v>0</v>
      </c>
      <c r="O11" t="n">
        <v>4</v>
      </c>
      <c r="P11" t="n">
        <v>1</v>
      </c>
      <c r="Q11" t="n">
        <v>9</v>
      </c>
      <c r="R11" s="2" t="inlineStr">
        <is>
          <t>Knärot
Grönsångare
Spillkråka
Talltita
Blomkålssvamp
Grovticka
Grönpyrola
Vedticka
Trollpipistrell</t>
        </is>
      </c>
      <c r="S11">
        <f>HYPERLINK("https://klasma.github.io/Logging_0861/artfynd/A 22913-2024 artfynd.xlsx", "A 22913-2024")</f>
        <v/>
      </c>
      <c r="T11">
        <f>HYPERLINK("https://klasma.github.io/Logging_0861/kartor/A 22913-2024 karta.png", "A 22913-2024")</f>
        <v/>
      </c>
      <c r="U11">
        <f>HYPERLINK("https://klasma.github.io/Logging_0861/knärot/A 22913-2024 karta knärot.png", "A 22913-2024")</f>
        <v/>
      </c>
      <c r="V11">
        <f>HYPERLINK("https://klasma.github.io/Logging_0861/klagomål/A 22913-2024 FSC-klagomål.docx", "A 22913-2024")</f>
        <v/>
      </c>
      <c r="W11">
        <f>HYPERLINK("https://klasma.github.io/Logging_0861/klagomålsmail/A 22913-2024 FSC-klagomål mail.docx", "A 22913-2024")</f>
        <v/>
      </c>
      <c r="X11">
        <f>HYPERLINK("https://klasma.github.io/Logging_0861/tillsyn/A 22913-2024 tillsynsbegäran.docx", "A 22913-2024")</f>
        <v/>
      </c>
      <c r="Y11">
        <f>HYPERLINK("https://klasma.github.io/Logging_0861/tillsynsmail/A 22913-2024 tillsynsbegäran mail.docx", "A 22913-2024")</f>
        <v/>
      </c>
      <c r="Z11">
        <f>HYPERLINK("https://klasma.github.io/Logging_0861/fåglar/A 22913-2024 prioriterade fågelarter.docx", "A 22913-2024")</f>
        <v/>
      </c>
    </row>
    <row r="12" ht="15" customHeight="1">
      <c r="A12" t="inlineStr">
        <is>
          <t>A 21915-2019</t>
        </is>
      </c>
      <c r="B12" s="1" t="n">
        <v>43584</v>
      </c>
      <c r="C12" s="1" t="n">
        <v>45670</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45670</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45670</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45670</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45670</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45670</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45670</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45670</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45670</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45670</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45670</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45670</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45670</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45670</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45670</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45670</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45670</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45670</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45670</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45670</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6509-2020</t>
        </is>
      </c>
      <c r="B32" s="1" t="n">
        <v>43867</v>
      </c>
      <c r="C32" s="1" t="n">
        <v>45670</v>
      </c>
      <c r="D32" t="inlineStr">
        <is>
          <t>KALMAR LÄN</t>
        </is>
      </c>
      <c r="E32" t="inlineStr">
        <is>
          <t>MÖNSTERÅS</t>
        </is>
      </c>
      <c r="G32" t="n">
        <v>5.3</v>
      </c>
      <c r="H32" t="n">
        <v>2</v>
      </c>
      <c r="I32" t="n">
        <v>1</v>
      </c>
      <c r="J32" t="n">
        <v>0</v>
      </c>
      <c r="K32" t="n">
        <v>1</v>
      </c>
      <c r="L32" t="n">
        <v>0</v>
      </c>
      <c r="M32" t="n">
        <v>0</v>
      </c>
      <c r="N32" t="n">
        <v>0</v>
      </c>
      <c r="O32" t="n">
        <v>1</v>
      </c>
      <c r="P32" t="n">
        <v>1</v>
      </c>
      <c r="Q32" t="n">
        <v>3</v>
      </c>
      <c r="R32" s="2" t="inlineStr">
        <is>
          <t>Knärot
Blåmossa
Mattlummer</t>
        </is>
      </c>
      <c r="S32">
        <f>HYPERLINK("https://klasma.github.io/Logging_0861/artfynd/A 6509-2020 artfynd.xlsx", "A 6509-2020")</f>
        <v/>
      </c>
      <c r="T32">
        <f>HYPERLINK("https://klasma.github.io/Logging_0861/kartor/A 6509-2020 karta.png", "A 6509-2020")</f>
        <v/>
      </c>
      <c r="U32">
        <f>HYPERLINK("https://klasma.github.io/Logging_0861/knärot/A 6509-2020 karta knärot.png", "A 6509-2020")</f>
        <v/>
      </c>
      <c r="V32">
        <f>HYPERLINK("https://klasma.github.io/Logging_0861/klagomål/A 6509-2020 FSC-klagomål.docx", "A 6509-2020")</f>
        <v/>
      </c>
      <c r="W32">
        <f>HYPERLINK("https://klasma.github.io/Logging_0861/klagomålsmail/A 6509-2020 FSC-klagomål mail.docx", "A 6509-2020")</f>
        <v/>
      </c>
      <c r="X32">
        <f>HYPERLINK("https://klasma.github.io/Logging_0861/tillsyn/A 6509-2020 tillsynsbegäran.docx", "A 6509-2020")</f>
        <v/>
      </c>
      <c r="Y32">
        <f>HYPERLINK("https://klasma.github.io/Logging_0861/tillsynsmail/A 6509-2020 tillsynsbegäran mail.docx", "A 6509-2020")</f>
        <v/>
      </c>
    </row>
    <row r="33" ht="15" customHeight="1">
      <c r="A33" t="inlineStr">
        <is>
          <t>A 25348-2020</t>
        </is>
      </c>
      <c r="B33" s="1" t="n">
        <v>43980</v>
      </c>
      <c r="C33" s="1" t="n">
        <v>45670</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45670</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45670</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45670</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45670</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45670</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45670</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45670</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45670</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45670</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45670</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45670</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45670</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45670</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45670</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45670</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45670</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45670</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45670</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45670</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45670</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45670</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45670</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45670</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45670</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45670</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45670</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45670</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45670</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45670</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45670</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45670</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45670</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45670</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45670</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45670</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45670</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45670</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45670</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45670</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45670</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45670</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45670</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45670</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45670</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45670</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45670</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45670</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45670</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45670</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45670</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45670</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45670</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45670</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45670</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45670</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45670</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45670</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45670</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45670</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45670</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45670</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45670</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45670</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45670</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45670</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45670</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45670</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45670</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45670</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45670</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45670</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45670</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45670</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45670</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45670</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45670</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45670</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45670</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45670</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45670</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45670</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45670</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45670</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45670</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45670</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45670</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45670</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45670</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45670</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45670</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45670</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45670</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45670</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45670</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45670</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45670</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45670</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45670</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45670</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45670</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45670</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45670</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45670</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45670</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45670</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45670</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45670</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45670</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45670</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45670</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45670</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45670</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45670</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45670</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45670</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45670</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45670</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45670</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45670</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45670</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45670</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45670</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45670</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45670</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45670</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45670</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45670</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45670</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45670</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45670</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45670</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45670</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45670</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45670</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45670</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45670</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45670</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45670</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45670</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45670</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45670</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45670</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45670</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45670</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45670</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45670</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45670</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45670</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45670</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45670</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45670</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45670</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45670</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45670</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45670</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45670</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45670</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45670</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45670</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45670</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45670</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45670</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45670</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45670</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45670</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45670</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45670</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45670</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45670</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45670</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45670</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45670</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45670</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45670</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45670</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45670</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45670</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45670</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45670</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45670</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45670</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45670</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45670</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45670</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45670</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45670</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45670</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45670</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45670</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45670</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45670</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45670</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45670</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45670</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45670</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45670</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45670</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45670</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45670</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45670</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45670</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45670</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45670</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45670</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45670</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45670</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45670</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45670</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45670</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45670</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45670</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45670</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45670</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45670</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45670</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45670</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45670</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45670</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45670</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45670</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45670</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45670</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45670</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45670</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45670</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45670</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45670</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45670</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45670</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45670</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45670</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45670</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45670</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45670</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45670</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45670</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45670</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45670</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45670</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45670</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45670</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45670</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45670</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45670</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45670</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45670</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45670</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45670</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45670</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45670</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45670</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45670</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45670</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45670</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45670</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45670</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45670</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45670</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45670</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45670</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45670</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45670</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45670</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45670</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45670</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45670</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45670</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45670</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45670</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45670</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45670</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45670</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45670</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45670</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45670</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45670</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45670</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45670</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45670</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45670</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45670</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45670</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45670</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45670</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45670</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45670</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45670</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45670</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45670</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45670</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45670</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45670</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45670</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45670</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45670</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45670</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45670</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45670</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45670</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45670</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45670</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45670</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45670</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45670</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45670</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45670</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45670</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45670</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45670</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45670</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45670</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45670</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45670</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45670</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45670</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45670</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45670</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45670</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45670</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45670</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45670</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45670</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45670</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45670</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45670</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45670</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45670</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45670</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45670</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45670</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45670</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45670</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45670</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45670</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45670</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45670</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45670</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45670</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45670</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45670</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45670</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45670</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45670</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45670</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45670</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45670</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45670</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45670</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45670</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45670</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45670</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45670</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45670</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45670</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45670</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45670</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45670</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45670</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45670</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45670</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45670</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45670</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45670</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45670</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45670</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45670</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45670</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45670</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45670</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45670</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45670</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45670</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45670</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45670</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45670</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45670</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45670</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45670</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45670</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45670</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45670</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45670</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45670</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45670</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45670</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45670</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45670</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45670</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45670</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45670</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45670</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45670</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45670</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45670</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45670</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45670</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45670</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45670</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45670</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45670</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45670</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45670</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45670</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45670</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45670</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45670</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45670</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45670</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45670</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45670</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45670</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45670</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45670</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45670</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45670</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45670</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45670</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45670</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45670</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45670</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45670</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45670</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45670</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45670</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45670</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45670</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45670</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45670</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45670</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45670</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45670</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45670</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45670</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45670</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45670</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45670</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45670</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45670</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45670</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45670</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45670</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45670</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45670</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45670</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45670</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45670</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45670</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45670</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45670</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45670</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45670</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45670</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45670</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45670</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45670</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45670</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45670</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45670</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45670</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45670</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45670</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45670</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45670</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45670</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45670</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45670</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45670</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45670</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45670</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45670</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45670</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45670</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45670</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45670</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45670</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45670</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45670</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45670</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45670</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45670</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45670</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45670</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45670</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45670</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45670</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45670</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45670</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45670</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45670</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45670</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45670</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45670</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45670</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45670</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45670</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45670</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45670</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45670</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45670</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45670</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45670</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45670</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45670</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45670</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45670</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45670</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45670</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45670</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45670</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45670</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45670</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45670</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45670</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45670</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45670</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45670</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45670</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45670</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45670</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45670</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45670</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45670</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45670</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45670</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45670</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45670</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45670</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45670</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45670</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45670</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45670</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45670</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45670</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45670</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45670</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45670</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45670</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45670</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45670</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45670</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45670</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45670</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45670</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45670</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45670</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45670</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45670</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45670</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45670</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45670</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45670</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45670</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45670</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45670</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45670</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45670</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45670</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45670</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45670</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45670</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45670</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45670</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45670</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45670</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45670</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45670</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45670</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45670</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45670</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45670</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45670</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45670</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45670</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45670</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45670</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45670</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45670</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45670</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45670</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45670</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45670</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45670</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45670</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45670</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45670</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45670</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45670</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45670</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45670</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45670</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45670</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45670</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45670</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45670</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45670</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45670</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45670</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45670</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45670</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45670</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45670</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45670</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45670</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45670</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45670</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45670</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45670</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45670</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45670</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45670</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45670</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45670</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45670</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45670</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45670</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45670</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45670</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45670</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45670</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45670</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45670</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45670</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45670</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45670</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45670</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45670</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45670</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45670</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45670</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45670</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45670</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45670</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45670</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45670</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45670</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45670</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45670</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45670</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45670</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45670</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45670</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45670</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45670</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45670</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45670</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45670</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45670</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45670</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45670</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45670</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45670</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45670</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45670</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45670</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45670</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45670</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45670</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45670</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45670</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45670</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45670</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45670</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45670</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45670</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45670</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45670</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45670</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45670</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45670</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45670</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45670</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45670</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45670</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45670</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45670</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45670</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45670</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45670</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45670</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45670</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45670</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45670</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45670</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45670</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45670</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45670</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45670</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45670</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45670</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45670</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45670</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45670</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45670</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45670</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45670</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45670</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45670</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45670</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45670</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45670</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45670</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45670</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45670</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45670</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45670</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45670</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45670</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45670</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45670</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45670</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45670</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45670</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45670</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45670</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45670</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45670</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45670</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45670</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45670</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45670</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45670</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45670</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45670</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45670</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45670</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45670</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45670</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45670</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45670</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45670</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45670</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45670</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45670</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45670</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45670</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45670</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45670</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45670</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45670</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45670</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45670</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45670</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45670</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45670</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45670</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45670</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45670</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56844-2024</t>
        </is>
      </c>
      <c r="B781" s="1" t="n">
        <v>45628</v>
      </c>
      <c r="C781" s="1" t="n">
        <v>45670</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56839-2024</t>
        </is>
      </c>
      <c r="B782" s="1" t="n">
        <v>45628</v>
      </c>
      <c r="C782" s="1" t="n">
        <v>45670</v>
      </c>
      <c r="D782" t="inlineStr">
        <is>
          <t>KALMAR LÄN</t>
        </is>
      </c>
      <c r="E782" t="inlineStr">
        <is>
          <t>MÖNSTERÅS</t>
        </is>
      </c>
      <c r="G782" t="n">
        <v>5.8</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45670</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59273-2024</t>
        </is>
      </c>
      <c r="B784" s="1" t="n">
        <v>45637</v>
      </c>
      <c r="C784" s="1" t="n">
        <v>45670</v>
      </c>
      <c r="D784" t="inlineStr">
        <is>
          <t>KALMAR LÄN</t>
        </is>
      </c>
      <c r="E784" t="inlineStr">
        <is>
          <t>MÖNSTERÅS</t>
        </is>
      </c>
      <c r="G784" t="n">
        <v>1.5</v>
      </c>
      <c r="H784" t="n">
        <v>0</v>
      </c>
      <c r="I784" t="n">
        <v>0</v>
      </c>
      <c r="J784" t="n">
        <v>0</v>
      </c>
      <c r="K784" t="n">
        <v>0</v>
      </c>
      <c r="L784" t="n">
        <v>0</v>
      </c>
      <c r="M784" t="n">
        <v>0</v>
      </c>
      <c r="N784" t="n">
        <v>0</v>
      </c>
      <c r="O784" t="n">
        <v>0</v>
      </c>
      <c r="P784" t="n">
        <v>0</v>
      </c>
      <c r="Q784" t="n">
        <v>0</v>
      </c>
      <c r="R784" s="2" t="inlineStr"/>
    </row>
    <row r="785" ht="15" customHeight="1">
      <c r="A785" t="inlineStr">
        <is>
          <t>A 59078-2024</t>
        </is>
      </c>
      <c r="B785" s="1" t="n">
        <v>45637</v>
      </c>
      <c r="C785" s="1" t="n">
        <v>45670</v>
      </c>
      <c r="D785" t="inlineStr">
        <is>
          <t>KALMAR LÄN</t>
        </is>
      </c>
      <c r="E785" t="inlineStr">
        <is>
          <t>MÖNSTERÅS</t>
        </is>
      </c>
      <c r="G785" t="n">
        <v>1.3</v>
      </c>
      <c r="H785" t="n">
        <v>0</v>
      </c>
      <c r="I785" t="n">
        <v>0</v>
      </c>
      <c r="J785" t="n">
        <v>0</v>
      </c>
      <c r="K785" t="n">
        <v>0</v>
      </c>
      <c r="L785" t="n">
        <v>0</v>
      </c>
      <c r="M785" t="n">
        <v>0</v>
      </c>
      <c r="N785" t="n">
        <v>0</v>
      </c>
      <c r="O785" t="n">
        <v>0</v>
      </c>
      <c r="P785" t="n">
        <v>0</v>
      </c>
      <c r="Q785" t="n">
        <v>0</v>
      </c>
      <c r="R785" s="2" t="inlineStr"/>
    </row>
    <row r="786" ht="15" customHeight="1">
      <c r="A786" t="inlineStr">
        <is>
          <t>A 59264-2024</t>
        </is>
      </c>
      <c r="B786" s="1" t="n">
        <v>45637</v>
      </c>
      <c r="C786" s="1" t="n">
        <v>45670</v>
      </c>
      <c r="D786" t="inlineStr">
        <is>
          <t>KALMAR LÄN</t>
        </is>
      </c>
      <c r="E786" t="inlineStr">
        <is>
          <t>MÖNSTERÅS</t>
        </is>
      </c>
      <c r="G786" t="n">
        <v>3.4</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45670</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45670</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45670</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45670</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45670</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45670</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45670</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61552-2024</t>
        </is>
      </c>
      <c r="B794" s="1" t="n">
        <v>45646</v>
      </c>
      <c r="C794" s="1" t="n">
        <v>45670</v>
      </c>
      <c r="D794" t="inlineStr">
        <is>
          <t>KALMAR LÄN</t>
        </is>
      </c>
      <c r="E794" t="inlineStr">
        <is>
          <t>MÖNSTERÅS</t>
        </is>
      </c>
      <c r="G794" t="n">
        <v>1.7</v>
      </c>
      <c r="H794" t="n">
        <v>0</v>
      </c>
      <c r="I794" t="n">
        <v>0</v>
      </c>
      <c r="J794" t="n">
        <v>0</v>
      </c>
      <c r="K794" t="n">
        <v>0</v>
      </c>
      <c r="L794" t="n">
        <v>0</v>
      </c>
      <c r="M794" t="n">
        <v>0</v>
      </c>
      <c r="N794" t="n">
        <v>0</v>
      </c>
      <c r="O794" t="n">
        <v>0</v>
      </c>
      <c r="P794" t="n">
        <v>0</v>
      </c>
      <c r="Q794" t="n">
        <v>0</v>
      </c>
      <c r="R794" s="2" t="inlineStr"/>
    </row>
    <row r="795" ht="15" customHeight="1">
      <c r="A795" t="inlineStr">
        <is>
          <t>A 61556-2024</t>
        </is>
      </c>
      <c r="B795" s="1" t="n">
        <v>45646</v>
      </c>
      <c r="C795" s="1" t="n">
        <v>45670</v>
      </c>
      <c r="D795" t="inlineStr">
        <is>
          <t>KALMAR LÄN</t>
        </is>
      </c>
      <c r="E795" t="inlineStr">
        <is>
          <t>MÖNSTERÅS</t>
        </is>
      </c>
      <c r="G795" t="n">
        <v>3</v>
      </c>
      <c r="H795" t="n">
        <v>0</v>
      </c>
      <c r="I795" t="n">
        <v>0</v>
      </c>
      <c r="J795" t="n">
        <v>0</v>
      </c>
      <c r="K795" t="n">
        <v>0</v>
      </c>
      <c r="L795" t="n">
        <v>0</v>
      </c>
      <c r="M795" t="n">
        <v>0</v>
      </c>
      <c r="N795" t="n">
        <v>0</v>
      </c>
      <c r="O795" t="n">
        <v>0</v>
      </c>
      <c r="P795" t="n">
        <v>0</v>
      </c>
      <c r="Q795" t="n">
        <v>0</v>
      </c>
      <c r="R795" s="2" t="inlineStr"/>
    </row>
    <row r="796" ht="15" customHeight="1">
      <c r="A796" t="inlineStr">
        <is>
          <t>A 61505-2024</t>
        </is>
      </c>
      <c r="B796" s="1" t="n">
        <v>45646</v>
      </c>
      <c r="C796" s="1" t="n">
        <v>45670</v>
      </c>
      <c r="D796" t="inlineStr">
        <is>
          <t>KALMAR LÄN</t>
        </is>
      </c>
      <c r="E796" t="inlineStr">
        <is>
          <t>MÖNSTERÅS</t>
        </is>
      </c>
      <c r="F796" t="inlineStr">
        <is>
          <t>Kommuner</t>
        </is>
      </c>
      <c r="G796" t="n">
        <v>1.1</v>
      </c>
      <c r="H796" t="n">
        <v>0</v>
      </c>
      <c r="I796" t="n">
        <v>0</v>
      </c>
      <c r="J796" t="n">
        <v>0</v>
      </c>
      <c r="K796" t="n">
        <v>0</v>
      </c>
      <c r="L796" t="n">
        <v>0</v>
      </c>
      <c r="M796" t="n">
        <v>0</v>
      </c>
      <c r="N796" t="n">
        <v>0</v>
      </c>
      <c r="O796" t="n">
        <v>0</v>
      </c>
      <c r="P796" t="n">
        <v>0</v>
      </c>
      <c r="Q796" t="n">
        <v>0</v>
      </c>
      <c r="R796" s="2" t="inlineStr"/>
    </row>
    <row r="797" ht="15" customHeight="1">
      <c r="A797" t="inlineStr">
        <is>
          <t>A 61495-2024</t>
        </is>
      </c>
      <c r="B797" s="1" t="n">
        <v>45646</v>
      </c>
      <c r="C797" s="1" t="n">
        <v>45670</v>
      </c>
      <c r="D797" t="inlineStr">
        <is>
          <t>KALMAR LÄN</t>
        </is>
      </c>
      <c r="E797" t="inlineStr">
        <is>
          <t>MÖNSTERÅS</t>
        </is>
      </c>
      <c r="F797" t="inlineStr">
        <is>
          <t>Kommuner</t>
        </is>
      </c>
      <c r="G797" t="n">
        <v>2.5</v>
      </c>
      <c r="H797" t="n">
        <v>0</v>
      </c>
      <c r="I797" t="n">
        <v>0</v>
      </c>
      <c r="J797" t="n">
        <v>0</v>
      </c>
      <c r="K797" t="n">
        <v>0</v>
      </c>
      <c r="L797" t="n">
        <v>0</v>
      </c>
      <c r="M797" t="n">
        <v>0</v>
      </c>
      <c r="N797" t="n">
        <v>0</v>
      </c>
      <c r="O797" t="n">
        <v>0</v>
      </c>
      <c r="P797" t="n">
        <v>0</v>
      </c>
      <c r="Q797" t="n">
        <v>0</v>
      </c>
      <c r="R797" s="2" t="inlineStr"/>
    </row>
    <row r="798" ht="15" customHeight="1">
      <c r="A798" t="inlineStr">
        <is>
          <t>A 61749-2024</t>
        </is>
      </c>
      <c r="B798" s="1" t="n">
        <v>45649</v>
      </c>
      <c r="C798" s="1" t="n">
        <v>45670</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61751-2024</t>
        </is>
      </c>
      <c r="B799" s="1" t="n">
        <v>45649</v>
      </c>
      <c r="C799" s="1" t="n">
        <v>45670</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2025-01-13T15:51:44Z</dcterms:created>
  <dcterms:modified xmlns:dcterms="http://purl.org/dc/terms/" xmlns:xsi="http://www.w3.org/2001/XMLSchema-instance" xsi:type="dcterms:W3CDTF">2025-01-13T15:51:44Z</dcterms:modified>
</cp:coreProperties>
</file>
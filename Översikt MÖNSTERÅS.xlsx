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46216</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46216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46216</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46216</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46216</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46216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46216</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46216</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46216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Y10">
        <f>HYPERLINK("https://klasma.github.io/Logging_0861/klagomål/A 31889-2025 FSC-klagomål.docx", "A 31889-2025")</f>
        <v/>
      </c>
      <c r="Z10">
        <f>HYPERLINK("https://klasma.github.io/Logging_0861/klagomålsmail/A 31889-2025 FSC-klagomål mail.docx", "A 31889-2025")</f>
        <v/>
      </c>
      <c r="AA10">
        <f>HYPERLINK("https://klasma.github.io/Logging_0861/tillsyn/A 31889-2025 tillsynsbegäran.docx", "A 31889-2025")</f>
        <v/>
      </c>
      <c r="AB10">
        <f>HYPERLINK("https://klasma.github.io/Logging_0861/tillsynsmail/A 31889-2025 tillsynsbegäran mail.docx", "A 31889-2025")</f>
        <v/>
      </c>
      <c r="AC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46216</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Y11">
        <f>HYPERLINK("https://klasma.github.io/Logging_0861/klagomål/A 21543-2026 FSC-klagomål.docx", "A 21543-2026")</f>
        <v/>
      </c>
      <c r="Z11">
        <f>HYPERLINK("https://klasma.github.io/Logging_0861/klagomålsmail/A 21543-2026 FSC-klagomål mail.docx", "A 21543-2026")</f>
        <v/>
      </c>
      <c r="AA11">
        <f>HYPERLINK("https://klasma.github.io/Logging_0861/tillsyn/A 21543-2026 tillsynsbegäran.docx", "A 21543-2026")</f>
        <v/>
      </c>
      <c r="AB11">
        <f>HYPERLINK("https://klasma.github.io/Logging_0861/tillsynsmail/A 21543-2026 tillsynsbegäran mail.docx", "A 21543-2026")</f>
        <v/>
      </c>
      <c r="AC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46216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46216</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46216</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46216</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46216</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46216</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46216</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46216</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46216</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46216</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46216</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46216</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46216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46216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46216</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46216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46216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s="2" t="inlineStr">
        <is>
          <t>Knärot
Barbastell
Brunlångöra
Nordfladdermus
Grönpyrola
Dvärgpipistrell
Större brunfladdermus</t>
        </is>
      </c>
      <c r="V28">
        <f>HYPERLINK("https://klasma.github.io/Logging_0861/artfynd/A 37983-2023 artfynd.xlsx", "A 37983-2023")</f>
        <v/>
      </c>
      <c r="W28">
        <f>HYPERLINK("https://klasma.github.io/Logging_0861/kartor/A 37983-2023 karta.png", "A 37983-2023")</f>
        <v/>
      </c>
      <c r="X28">
        <f>HYPERLINK("https://klasma.github.io/Logging_0861/knärot/A 37983-2023 karta knärot.png", "A 37983-2023")</f>
        <v/>
      </c>
      <c r="Y28">
        <f>HYPERLINK("https://klasma.github.io/Logging_0861/klagomål/A 37983-2023 FSC-klagomål.docx", "A 37983-2023")</f>
        <v/>
      </c>
      <c r="Z28">
        <f>HYPERLINK("https://klasma.github.io/Logging_0861/klagomålsmail/A 37983-2023 FSC-klagomål mail.docx", "A 37983-2023")</f>
        <v/>
      </c>
      <c r="AA28">
        <f>HYPERLINK("https://klasma.github.io/Logging_0861/tillsyn/A 37983-2023 tillsynsbegäran.docx", "A 37983-2023")</f>
        <v/>
      </c>
      <c r="AB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46216</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s="2" t="inlineStr">
        <is>
          <t>Grönfink
Stare
Grönsångare
Spillkråka
Kråka
Kungsfågel
Röd glada</t>
        </is>
      </c>
      <c r="V29">
        <f>HYPERLINK("https://klasma.github.io/Logging_0861/artfynd/A 43583-2023 artfynd.xlsx", "A 43583-2023")</f>
        <v/>
      </c>
      <c r="W29">
        <f>HYPERLINK("https://klasma.github.io/Logging_0861/kartor/A 43583-2023 karta.png", "A 43583-2023")</f>
        <v/>
      </c>
      <c r="Y29">
        <f>HYPERLINK("https://klasma.github.io/Logging_0861/klagomål/A 43583-2023 FSC-klagomål.docx", "A 43583-2023")</f>
        <v/>
      </c>
      <c r="Z29">
        <f>HYPERLINK("https://klasma.github.io/Logging_0861/klagomålsmail/A 43583-2023 FSC-klagomål mail.docx", "A 43583-2023")</f>
        <v/>
      </c>
      <c r="AA29">
        <f>HYPERLINK("https://klasma.github.io/Logging_0861/tillsyn/A 43583-2023 tillsynsbegäran.docx", "A 43583-2023")</f>
        <v/>
      </c>
      <c r="AB29">
        <f>HYPERLINK("https://klasma.github.io/Logging_0861/tillsynsmail/A 43583-2023 tillsynsbegäran mail.docx", "A 43583-2023")</f>
        <v/>
      </c>
      <c r="AC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46216</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s="2" t="inlineStr">
        <is>
          <t>Talltita
Björksplintborre
Blåmossa
Brandticka
Grovticka
Spillkråka
Tofsmes</t>
        </is>
      </c>
      <c r="V30">
        <f>HYPERLINK("https://klasma.github.io/Logging_0861/artfynd/A 16874-2026 artfynd.xlsx", "A 16874-2026")</f>
        <v/>
      </c>
      <c r="W30">
        <f>HYPERLINK("https://klasma.github.io/Logging_0861/kartor/A 16874-2026 karta.png", "A 16874-2026")</f>
        <v/>
      </c>
      <c r="Y30">
        <f>HYPERLINK("https://klasma.github.io/Logging_0861/klagomål/A 16874-2026 FSC-klagomål.docx", "A 16874-2026")</f>
        <v/>
      </c>
      <c r="Z30">
        <f>HYPERLINK("https://klasma.github.io/Logging_0861/klagomålsmail/A 16874-2026 FSC-klagomål mail.docx", "A 16874-2026")</f>
        <v/>
      </c>
      <c r="AA30">
        <f>HYPERLINK("https://klasma.github.io/Logging_0861/tillsyn/A 16874-2026 tillsynsbegäran.docx", "A 16874-2026")</f>
        <v/>
      </c>
      <c r="AB30">
        <f>HYPERLINK("https://klasma.github.io/Logging_0861/tillsynsmail/A 16874-2026 tillsynsbegäran mail.docx", "A 16874-2026")</f>
        <v/>
      </c>
      <c r="AC30">
        <f>HYPERLINK("https://klasma.github.io/Logging_0861/fåglar/A 16874-2026 prioriterade fågelarter.docx", "A 16874-2026")</f>
        <v/>
      </c>
    </row>
    <row r="31" ht="15" customHeight="1">
      <c r="A31" t="inlineStr">
        <is>
          <t>A 34081-2022</t>
        </is>
      </c>
      <c r="B31" t="inlineStr">
        <is>
          <t>avverkningsanmälan</t>
        </is>
      </c>
      <c r="C31" t="inlineStr">
        <is>
          <t>Föryngringsavverkning</t>
        </is>
      </c>
      <c r="D31" s="1" t="n">
        <v>44791</v>
      </c>
      <c r="E31" s="1" t="n">
        <v>46216</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HYPERLINK("https://klasma.github.io/Logging_0861/knärot/A 34081-2022 karta knärot.png", "A 34081-2022")</f>
        <v/>
      </c>
      <c r="Y31">
        <f>HYPERLINK("https://klasma.github.io/Logging_0861/klagomål/A 34081-2022 FSC-klagomål.docx", "A 34081-2022")</f>
        <v/>
      </c>
      <c r="Z31">
        <f>HYPERLINK("https://klasma.github.io/Logging_0861/klagomålsmail/A 34081-2022 FSC-klagomål mail.docx", "A 34081-2022")</f>
        <v/>
      </c>
      <c r="AA31">
        <f>HYPERLINK("https://klasma.github.io/Logging_0861/tillsyn/A 34081-2022 tillsynsbegäran.docx", "A 34081-2022")</f>
        <v/>
      </c>
      <c r="AB31">
        <f>HYPERLINK("https://klasma.github.io/Logging_0861/tillsynsmail/A 34081-2022 tillsynsbegäran mail.docx", "A 34081-2022")</f>
        <v/>
      </c>
      <c r="AC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46216</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Y32">
        <f>HYPERLINK("https://klasma.github.io/Logging_0861/klagomål/A 23226-2026 FSC-klagomål.docx", "A 23226-2026")</f>
        <v/>
      </c>
      <c r="Z32">
        <f>HYPERLINK("https://klasma.github.io/Logging_0861/klagomålsmail/A 23226-2026 FSC-klagomål mail.docx", "A 23226-2026")</f>
        <v/>
      </c>
      <c r="AA32">
        <f>HYPERLINK("https://klasma.github.io/Logging_0861/tillsyn/A 23226-2026 tillsynsbegäran.docx", "A 23226-2026")</f>
        <v/>
      </c>
      <c r="AB32">
        <f>HYPERLINK("https://klasma.github.io/Logging_0861/tillsynsmail/A 23226-2026 tillsynsbegäran mail.docx", "A 23226-2026")</f>
        <v/>
      </c>
    </row>
    <row r="33" ht="15" customHeight="1">
      <c r="A33" t="inlineStr">
        <is>
          <t>A 37143-2024</t>
        </is>
      </c>
      <c r="B33" t="inlineStr">
        <is>
          <t>avverkningsanmälan</t>
        </is>
      </c>
      <c r="C33" t="inlineStr">
        <is>
          <t>Föryngringsavverkning</t>
        </is>
      </c>
      <c r="D33" s="1" t="n">
        <v>45539</v>
      </c>
      <c r="E33" s="1" t="n">
        <v>46216</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s="2" t="inlineStr">
        <is>
          <t>Brunlångöra
Nordfladdermus
Dvärgpipistrell
Större brunfladdermus
Vattenfladdermus</t>
        </is>
      </c>
      <c r="V33">
        <f>HYPERLINK("https://klasma.github.io/Logging_0861/artfynd/A 37143-2024 artfynd.xlsx", "A 37143-2024")</f>
        <v/>
      </c>
      <c r="W33">
        <f>HYPERLINK("https://klasma.github.io/Logging_0861/kartor/A 37143-2024 karta.png", "A 37143-2024")</f>
        <v/>
      </c>
      <c r="Y33">
        <f>HYPERLINK("https://klasma.github.io/Logging_0861/klagomål/A 37143-2024 FSC-klagomål.docx", "A 37143-2024")</f>
        <v/>
      </c>
      <c r="Z33">
        <f>HYPERLINK("https://klasma.github.io/Logging_0861/klagomålsmail/A 37143-2024 FSC-klagomål mail.docx", "A 37143-2024")</f>
        <v/>
      </c>
      <c r="AA33">
        <f>HYPERLINK("https://klasma.github.io/Logging_0861/tillsyn/A 37143-2024 tillsynsbegäran.docx", "A 37143-2024")</f>
        <v/>
      </c>
      <c r="AB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46216</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s="2" t="inlineStr">
        <is>
          <t>Aspstumpbagge
Klubbsprötad bastardsvärmare
Tvåtandad plattbagge
Vågbandad barkbock
Spillkråka</t>
        </is>
      </c>
      <c r="V34">
        <f>HYPERLINK("https://klasma.github.io/Logging_0861/artfynd/A 31881-2023 artfynd.xlsx", "A 31881-2023")</f>
        <v/>
      </c>
      <c r="W34">
        <f>HYPERLINK("https://klasma.github.io/Logging_0861/kartor/A 31881-2023 karta.png", "A 31881-2023")</f>
        <v/>
      </c>
      <c r="Y34">
        <f>HYPERLINK("https://klasma.github.io/Logging_0861/klagomål/A 31881-2023 FSC-klagomål.docx", "A 31881-2023")</f>
        <v/>
      </c>
      <c r="Z34">
        <f>HYPERLINK("https://klasma.github.io/Logging_0861/klagomålsmail/A 31881-2023 FSC-klagomål mail.docx", "A 31881-2023")</f>
        <v/>
      </c>
      <c r="AA34">
        <f>HYPERLINK("https://klasma.github.io/Logging_0861/tillsyn/A 31881-2023 tillsynsbegäran.docx", "A 31881-2023")</f>
        <v/>
      </c>
      <c r="AB34">
        <f>HYPERLINK("https://klasma.github.io/Logging_0861/tillsynsmail/A 31881-2023 tillsynsbegäran mail.docx", "A 31881-2023")</f>
        <v/>
      </c>
      <c r="AC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46216</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s="2" t="inlineStr">
        <is>
          <t>Bredbrämad bastardsvärmare
Mindre bastardsvärmare
Talltita
Dolkstekelsglasvinge
Tjäder</t>
        </is>
      </c>
      <c r="V35">
        <f>HYPERLINK("https://klasma.github.io/Logging_0861/artfynd/A 61017-2025 artfynd.xlsx", "A 61017-2025")</f>
        <v/>
      </c>
      <c r="W35">
        <f>HYPERLINK("https://klasma.github.io/Logging_0861/kartor/A 61017-2025 karta.png", "A 61017-2025")</f>
        <v/>
      </c>
      <c r="Y35">
        <f>HYPERLINK("https://klasma.github.io/Logging_0861/klagomål/A 61017-2025 FSC-klagomål.docx", "A 61017-2025")</f>
        <v/>
      </c>
      <c r="Z35">
        <f>HYPERLINK("https://klasma.github.io/Logging_0861/klagomålsmail/A 61017-2025 FSC-klagomål mail.docx", "A 61017-2025")</f>
        <v/>
      </c>
      <c r="AA35">
        <f>HYPERLINK("https://klasma.github.io/Logging_0861/tillsyn/A 61017-2025 tillsynsbegäran.docx", "A 61017-2025")</f>
        <v/>
      </c>
      <c r="AB35">
        <f>HYPERLINK("https://klasma.github.io/Logging_0861/tillsynsmail/A 61017-2025 tillsynsbegäran mail.docx", "A 61017-2025")</f>
        <v/>
      </c>
      <c r="AC35">
        <f>HYPERLINK("https://klasma.github.io/Logging_0861/fåglar/A 61017-2025 prioriterade fågelarter.docx", "A 61017-2025")</f>
        <v/>
      </c>
    </row>
    <row r="36" ht="15" customHeight="1">
      <c r="A36" t="inlineStr">
        <is>
          <t>A 10103-2022</t>
        </is>
      </c>
      <c r="B36" t="inlineStr">
        <is>
          <t>avverkningsanmälan</t>
        </is>
      </c>
      <c r="C36" t="inlineStr">
        <is>
          <t>Föryngringsavverkning</t>
        </is>
      </c>
      <c r="D36" s="1" t="n">
        <v>44621</v>
      </c>
      <c r="E36" s="1" t="n">
        <v>46216</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s="2" t="inlineStr">
        <is>
          <t>Jätteknäppare
Mindre träfjäril
Bronshjon
Gulröd blankbock
Nattskärra</t>
        </is>
      </c>
      <c r="V36">
        <f>HYPERLINK("https://klasma.github.io/Logging_0861/artfynd/A 10103-2022 artfynd.xlsx", "A 10103-2022")</f>
        <v/>
      </c>
      <c r="W36">
        <f>HYPERLINK("https://klasma.github.io/Logging_0861/kartor/A 10103-2022 karta.png", "A 10103-2022")</f>
        <v/>
      </c>
      <c r="Y36">
        <f>HYPERLINK("https://klasma.github.io/Logging_0861/klagomål/A 10103-2022 FSC-klagomål.docx", "A 10103-2022")</f>
        <v/>
      </c>
      <c r="Z36">
        <f>HYPERLINK("https://klasma.github.io/Logging_0861/klagomålsmail/A 10103-2022 FSC-klagomål mail.docx", "A 10103-2022")</f>
        <v/>
      </c>
      <c r="AA36">
        <f>HYPERLINK("https://klasma.github.io/Logging_0861/tillsyn/A 10103-2022 tillsynsbegäran.docx", "A 10103-2022")</f>
        <v/>
      </c>
      <c r="AB36">
        <f>HYPERLINK("https://klasma.github.io/Logging_0861/tillsynsmail/A 10103-2022 tillsynsbegäran mail.docx", "A 10103-2022")</f>
        <v/>
      </c>
      <c r="AC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46216</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s="2" t="inlineStr">
        <is>
          <t>Knärot
Blåmossa
Grön sköldmossa
Stubbspretmossa
Spillkråka</t>
        </is>
      </c>
      <c r="V37">
        <f>HYPERLINK("https://klasma.github.io/Logging_0861/artfynd/A 16769-2026 artfynd.xlsx", "A 16769-2026")</f>
        <v/>
      </c>
      <c r="W37">
        <f>HYPERLINK("https://klasma.github.io/Logging_0861/kartor/A 16769-2026 karta.png", "A 16769-2026")</f>
        <v/>
      </c>
      <c r="X37">
        <f>HYPERLINK("https://klasma.github.io/Logging_0861/knärot/A 16769-2026 karta knärot.png", "A 16769-2026")</f>
        <v/>
      </c>
      <c r="Y37">
        <f>HYPERLINK("https://klasma.github.io/Logging_0861/klagomål/A 16769-2026 FSC-klagomål.docx", "A 16769-2026")</f>
        <v/>
      </c>
      <c r="Z37">
        <f>HYPERLINK("https://klasma.github.io/Logging_0861/klagomålsmail/A 16769-2026 FSC-klagomål mail.docx", "A 16769-2026")</f>
        <v/>
      </c>
      <c r="AA37">
        <f>HYPERLINK("https://klasma.github.io/Logging_0861/tillsyn/A 16769-2026 tillsynsbegäran.docx", "A 16769-2026")</f>
        <v/>
      </c>
      <c r="AB37">
        <f>HYPERLINK("https://klasma.github.io/Logging_0861/tillsynsmail/A 16769-2026 tillsynsbegäran mail.docx", "A 16769-2026")</f>
        <v/>
      </c>
      <c r="AC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46216</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s="2" t="inlineStr">
        <is>
          <t>Knärot
Talltita
Blåmossa
Grönpyrola
Spillkråka</t>
        </is>
      </c>
      <c r="V38">
        <f>HYPERLINK("https://klasma.github.io/Logging_0861/artfynd/A 64870-2023 artfynd.xlsx", "A 64870-2023")</f>
        <v/>
      </c>
      <c r="W38">
        <f>HYPERLINK("https://klasma.github.io/Logging_0861/kartor/A 64870-2023 karta.png", "A 64870-2023")</f>
        <v/>
      </c>
      <c r="X38">
        <f>HYPERLINK("https://klasma.github.io/Logging_0861/knärot/A 64870-2023 karta knärot.png", "A 64870-2023")</f>
        <v/>
      </c>
      <c r="Y38">
        <f>HYPERLINK("https://klasma.github.io/Logging_0861/klagomål/A 64870-2023 FSC-klagomål.docx", "A 64870-2023")</f>
        <v/>
      </c>
      <c r="Z38">
        <f>HYPERLINK("https://klasma.github.io/Logging_0861/klagomålsmail/A 64870-2023 FSC-klagomål mail.docx", "A 64870-2023")</f>
        <v/>
      </c>
      <c r="AA38">
        <f>HYPERLINK("https://klasma.github.io/Logging_0861/tillsyn/A 64870-2023 tillsynsbegäran.docx", "A 64870-2023")</f>
        <v/>
      </c>
      <c r="AB38">
        <f>HYPERLINK("https://klasma.github.io/Logging_0861/tillsynsmail/A 64870-2023 tillsynsbegäran mail.docx", "A 64870-2023")</f>
        <v/>
      </c>
      <c r="AC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46216</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s="2" t="inlineStr">
        <is>
          <t>Knärot
Talltita
Blåmossa
Grönpyrola
Spillkråka</t>
        </is>
      </c>
      <c r="V39">
        <f>HYPERLINK("https://klasma.github.io/Logging_0861/artfynd/A 12708-2025 artfynd.xlsx", "A 12708-2025")</f>
        <v/>
      </c>
      <c r="W39">
        <f>HYPERLINK("https://klasma.github.io/Logging_0861/kartor/A 12708-2025 karta.png", "A 12708-2025")</f>
        <v/>
      </c>
      <c r="X39">
        <f>HYPERLINK("https://klasma.github.io/Logging_0861/knärot/A 12708-2025 karta knärot.png", "A 12708-2025")</f>
        <v/>
      </c>
      <c r="Y39">
        <f>HYPERLINK("https://klasma.github.io/Logging_0861/klagomål/A 12708-2025 FSC-klagomål.docx", "A 12708-2025")</f>
        <v/>
      </c>
      <c r="Z39">
        <f>HYPERLINK("https://klasma.github.io/Logging_0861/klagomålsmail/A 12708-2025 FSC-klagomål mail.docx", "A 12708-2025")</f>
        <v/>
      </c>
      <c r="AA39">
        <f>HYPERLINK("https://klasma.github.io/Logging_0861/tillsyn/A 12708-2025 tillsynsbegäran.docx", "A 12708-2025")</f>
        <v/>
      </c>
      <c r="AB39">
        <f>HYPERLINK("https://klasma.github.io/Logging_0861/tillsynsmail/A 12708-2025 tillsynsbegäran mail.docx", "A 12708-2025")</f>
        <v/>
      </c>
      <c r="AC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46216</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s="2" t="inlineStr">
        <is>
          <t>Brunlångöra
Nordfladdermus
Dvärgpipistrell
Större brunfladdermus
Trollpipistrell</t>
        </is>
      </c>
      <c r="V40">
        <f>HYPERLINK("https://klasma.github.io/Logging_0861/artfynd/A 2571-2025 artfynd.xlsx", "A 2571-2025")</f>
        <v/>
      </c>
      <c r="W40">
        <f>HYPERLINK("https://klasma.github.io/Logging_0861/kartor/A 2571-2025 karta.png", "A 2571-2025")</f>
        <v/>
      </c>
      <c r="Y40">
        <f>HYPERLINK("https://klasma.github.io/Logging_0861/klagomål/A 2571-2025 FSC-klagomål.docx", "A 2571-2025")</f>
        <v/>
      </c>
      <c r="Z40">
        <f>HYPERLINK("https://klasma.github.io/Logging_0861/klagomålsmail/A 2571-2025 FSC-klagomål mail.docx", "A 2571-2025")</f>
        <v/>
      </c>
      <c r="AA40">
        <f>HYPERLINK("https://klasma.github.io/Logging_0861/tillsyn/A 2571-2025 tillsynsbegäran.docx", "A 2571-2025")</f>
        <v/>
      </c>
      <c r="AB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46216</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s="2" t="inlineStr">
        <is>
          <t>Knärot
Ullticka
Blåmossa
Grönpyrola
Spillkråka</t>
        </is>
      </c>
      <c r="V41">
        <f>HYPERLINK("https://klasma.github.io/Logging_0861/artfynd/A 58899-2023 artfynd.xlsx", "A 58899-2023")</f>
        <v/>
      </c>
      <c r="W41">
        <f>HYPERLINK("https://klasma.github.io/Logging_0861/kartor/A 58899-2023 karta.png", "A 58899-2023")</f>
        <v/>
      </c>
      <c r="X41">
        <f>HYPERLINK("https://klasma.github.io/Logging_0861/knärot/A 58899-2023 karta knärot.png", "A 58899-2023")</f>
        <v/>
      </c>
      <c r="Y41">
        <f>HYPERLINK("https://klasma.github.io/Logging_0861/klagomål/A 58899-2023 FSC-klagomål.docx", "A 58899-2023")</f>
        <v/>
      </c>
      <c r="Z41">
        <f>HYPERLINK("https://klasma.github.io/Logging_0861/klagomålsmail/A 58899-2023 FSC-klagomål mail.docx", "A 58899-2023")</f>
        <v/>
      </c>
      <c r="AA41">
        <f>HYPERLINK("https://klasma.github.io/Logging_0861/tillsyn/A 58899-2023 tillsynsbegäran.docx", "A 58899-2023")</f>
        <v/>
      </c>
      <c r="AB41">
        <f>HYPERLINK("https://klasma.github.io/Logging_0861/tillsynsmail/A 58899-2023 tillsynsbegäran mail.docx", "A 58899-2023")</f>
        <v/>
      </c>
      <c r="AC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46216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Y42">
        <f>HYPERLINK("https://klasma.github.io/Logging_0861/klagomål/A 20160-2026 FSC-klagomål.docx", "A 20160-2026")</f>
        <v/>
      </c>
      <c r="Z42">
        <f>HYPERLINK("https://klasma.github.io/Logging_0861/klagomålsmail/A 20160-2026 FSC-klagomål mail.docx", "A 20160-2026")</f>
        <v/>
      </c>
      <c r="AA42">
        <f>HYPERLINK("https://klasma.github.io/Logging_0861/tillsyn/A 20160-2026 tillsynsbegäran.docx", "A 20160-2026")</f>
        <v/>
      </c>
      <c r="AB42">
        <f>HYPERLINK("https://klasma.github.io/Logging_0861/tillsynsmail/A 20160-2026 tillsynsbegäran mail.docx", "A 20160-2026")</f>
        <v/>
      </c>
      <c r="AC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46216</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46216</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s="2" t="inlineStr">
        <is>
          <t>Nordfladdermus
Spillkråka
Dvärgpipistrell
Havsörn</t>
        </is>
      </c>
      <c r="V44">
        <f>HYPERLINK("https://klasma.github.io/Logging_0861/artfynd/A 10178-2024 artfynd.xlsx", "A 10178-2024")</f>
        <v/>
      </c>
      <c r="W44">
        <f>HYPERLINK("https://klasma.github.io/Logging_0861/kartor/A 10178-2024 karta.png", "A 10178-2024")</f>
        <v/>
      </c>
      <c r="Y44">
        <f>HYPERLINK("https://klasma.github.io/Logging_0861/klagomål/A 10178-2024 FSC-klagomål.docx", "A 10178-2024")</f>
        <v/>
      </c>
      <c r="Z44">
        <f>HYPERLINK("https://klasma.github.io/Logging_0861/klagomålsmail/A 10178-2024 FSC-klagomål mail.docx", "A 10178-2024")</f>
        <v/>
      </c>
      <c r="AA44">
        <f>HYPERLINK("https://klasma.github.io/Logging_0861/tillsyn/A 10178-2024 tillsynsbegäran.docx", "A 10178-2024")</f>
        <v/>
      </c>
      <c r="AB44">
        <f>HYPERLINK("https://klasma.github.io/Logging_0861/tillsynsmail/A 10178-2024 tillsynsbegäran mail.docx", "A 10178-2024")</f>
        <v/>
      </c>
      <c r="AC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46216</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Y45">
        <f>HYPERLINK("https://klasma.github.io/Logging_0861/klagomål/A 33105-2025 FSC-klagomål.docx", "A 33105-2025")</f>
        <v/>
      </c>
      <c r="Z45">
        <f>HYPERLINK("https://klasma.github.io/Logging_0861/klagomålsmail/A 33105-2025 FSC-klagomål mail.docx", "A 33105-2025")</f>
        <v/>
      </c>
      <c r="AA45">
        <f>HYPERLINK("https://klasma.github.io/Logging_0861/tillsyn/A 33105-2025 tillsynsbegäran.docx", "A 33105-2025")</f>
        <v/>
      </c>
      <c r="AB45">
        <f>HYPERLINK("https://klasma.github.io/Logging_0861/tillsynsmail/A 33105-2025 tillsynsbegäran mail.docx", "A 33105-2025")</f>
        <v/>
      </c>
      <c r="AC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46216</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s="2" t="inlineStr">
        <is>
          <t>Blåmossa
Flagellkvastmossa
Vågbandad barkbock
Spillkråka</t>
        </is>
      </c>
      <c r="V46">
        <f>HYPERLINK("https://klasma.github.io/Logging_0861/artfynd/A 53167-2022 artfynd.xlsx", "A 53167-2022")</f>
        <v/>
      </c>
      <c r="W46">
        <f>HYPERLINK("https://klasma.github.io/Logging_0861/kartor/A 53167-2022 karta.png", "A 53167-2022")</f>
        <v/>
      </c>
      <c r="Y46">
        <f>HYPERLINK("https://klasma.github.io/Logging_0861/klagomål/A 53167-2022 FSC-klagomål.docx", "A 53167-2022")</f>
        <v/>
      </c>
      <c r="Z46">
        <f>HYPERLINK("https://klasma.github.io/Logging_0861/klagomålsmail/A 53167-2022 FSC-klagomål mail.docx", "A 53167-2022")</f>
        <v/>
      </c>
      <c r="AA46">
        <f>HYPERLINK("https://klasma.github.io/Logging_0861/tillsyn/A 53167-2022 tillsynsbegäran.docx", "A 53167-2022")</f>
        <v/>
      </c>
      <c r="AB46">
        <f>HYPERLINK("https://klasma.github.io/Logging_0861/tillsynsmail/A 53167-2022 tillsynsbegäran mail.docx", "A 53167-2022")</f>
        <v/>
      </c>
      <c r="AC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46216</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s="2" t="inlineStr">
        <is>
          <t>Svart guldbagge
Smalvingad blombock
Ekoxe
Gulpudrad spiklav</t>
        </is>
      </c>
      <c r="V47">
        <f>HYPERLINK("https://klasma.github.io/Logging_0861/artfynd/A 5639-2022 artfynd.xlsx", "A 5639-2022")</f>
        <v/>
      </c>
      <c r="W47">
        <f>HYPERLINK("https://klasma.github.io/Logging_0861/kartor/A 5639-2022 karta.png", "A 5639-2022")</f>
        <v/>
      </c>
      <c r="Y47">
        <f>HYPERLINK("https://klasma.github.io/Logging_0861/klagomål/A 5639-2022 FSC-klagomål.docx", "A 5639-2022")</f>
        <v/>
      </c>
      <c r="Z47">
        <f>HYPERLINK("https://klasma.github.io/Logging_0861/klagomålsmail/A 5639-2022 FSC-klagomål mail.docx", "A 5639-2022")</f>
        <v/>
      </c>
      <c r="AA47">
        <f>HYPERLINK("https://klasma.github.io/Logging_0861/tillsyn/A 5639-2022 tillsynsbegäran.docx", "A 5639-2022")</f>
        <v/>
      </c>
      <c r="AB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46216</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s="2" t="inlineStr">
        <is>
          <t>Blåmossa
Bronshjon
Sotlav
Thomsons trägnagare</t>
        </is>
      </c>
      <c r="V48">
        <f>HYPERLINK("https://klasma.github.io/Logging_0861/artfynd/A 36372-2023 artfynd.xlsx", "A 36372-2023")</f>
        <v/>
      </c>
      <c r="W48">
        <f>HYPERLINK("https://klasma.github.io/Logging_0861/kartor/A 36372-2023 karta.png", "A 36372-2023")</f>
        <v/>
      </c>
      <c r="Y48">
        <f>HYPERLINK("https://klasma.github.io/Logging_0861/klagomål/A 36372-2023 FSC-klagomål.docx", "A 36372-2023")</f>
        <v/>
      </c>
      <c r="Z48">
        <f>HYPERLINK("https://klasma.github.io/Logging_0861/klagomålsmail/A 36372-2023 FSC-klagomål mail.docx", "A 36372-2023")</f>
        <v/>
      </c>
      <c r="AA48">
        <f>HYPERLINK("https://klasma.github.io/Logging_0861/tillsyn/A 36372-2023 tillsynsbegäran.docx", "A 36372-2023")</f>
        <v/>
      </c>
      <c r="AB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46216</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s="2" t="inlineStr">
        <is>
          <t>Blåmossa
Nattskärra
Spillkråka
Skogsödla</t>
        </is>
      </c>
      <c r="V49">
        <f>HYPERLINK("https://klasma.github.io/Logging_0861/artfynd/A 11926-2023 artfynd.xlsx", "A 11926-2023")</f>
        <v/>
      </c>
      <c r="W49">
        <f>HYPERLINK("https://klasma.github.io/Logging_0861/kartor/A 11926-2023 karta.png", "A 11926-2023")</f>
        <v/>
      </c>
      <c r="Y49">
        <f>HYPERLINK("https://klasma.github.io/Logging_0861/klagomål/A 11926-2023 FSC-klagomål.docx", "A 11926-2023")</f>
        <v/>
      </c>
      <c r="Z49">
        <f>HYPERLINK("https://klasma.github.io/Logging_0861/klagomålsmail/A 11926-2023 FSC-klagomål mail.docx", "A 11926-2023")</f>
        <v/>
      </c>
      <c r="AA49">
        <f>HYPERLINK("https://klasma.github.io/Logging_0861/tillsyn/A 11926-2023 tillsynsbegäran.docx", "A 11926-2023")</f>
        <v/>
      </c>
      <c r="AB49">
        <f>HYPERLINK("https://klasma.github.io/Logging_0861/tillsynsmail/A 11926-2023 tillsynsbegäran mail.docx", "A 11926-2023")</f>
        <v/>
      </c>
      <c r="AC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46216</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46216</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46216</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46216</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s="2" t="inlineStr">
        <is>
          <t>Ekticka
Grå skärelav
Gulnål</t>
        </is>
      </c>
      <c r="V53">
        <f>HYPERLINK("https://klasma.github.io/Logging_0861/artfynd/A 23879-2024 artfynd.xlsx", "A 23879-2024")</f>
        <v/>
      </c>
      <c r="W53">
        <f>HYPERLINK("https://klasma.github.io/Logging_0861/kartor/A 23879-2024 karta.png", "A 23879-2024")</f>
        <v/>
      </c>
      <c r="Y53">
        <f>HYPERLINK("https://klasma.github.io/Logging_0861/klagomål/A 23879-2024 FSC-klagomål.docx", "A 23879-2024")</f>
        <v/>
      </c>
      <c r="Z53">
        <f>HYPERLINK("https://klasma.github.io/Logging_0861/klagomålsmail/A 23879-2024 FSC-klagomål mail.docx", "A 23879-2024")</f>
        <v/>
      </c>
      <c r="AA53">
        <f>HYPERLINK("https://klasma.github.io/Logging_0861/tillsyn/A 23879-2024 tillsynsbegäran.docx", "A 23879-2024")</f>
        <v/>
      </c>
      <c r="AB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46216</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s="2" t="inlineStr">
        <is>
          <t>Röd glada
Sävsparv
Trädlärka</t>
        </is>
      </c>
      <c r="V54">
        <f>HYPERLINK("https://klasma.github.io/Logging_0861/artfynd/A 34207-2022 artfynd.xlsx", "A 34207-2022")</f>
        <v/>
      </c>
      <c r="W54">
        <f>HYPERLINK("https://klasma.github.io/Logging_0861/kartor/A 34207-2022 karta.png", "A 34207-2022")</f>
        <v/>
      </c>
      <c r="Y54">
        <f>HYPERLINK("https://klasma.github.io/Logging_0861/klagomål/A 34207-2022 FSC-klagomål.docx", "A 34207-2022")</f>
        <v/>
      </c>
      <c r="Z54">
        <f>HYPERLINK("https://klasma.github.io/Logging_0861/klagomålsmail/A 34207-2022 FSC-klagomål mail.docx", "A 34207-2022")</f>
        <v/>
      </c>
      <c r="AA54">
        <f>HYPERLINK("https://klasma.github.io/Logging_0861/tillsyn/A 34207-2022 tillsynsbegäran.docx", "A 34207-2022")</f>
        <v/>
      </c>
      <c r="AB54">
        <f>HYPERLINK("https://klasma.github.io/Logging_0861/tillsynsmail/A 34207-2022 tillsynsbegäran mail.docx", "A 34207-2022")</f>
        <v/>
      </c>
      <c r="AC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46216</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s="2" t="inlineStr">
        <is>
          <t>Brunlångöra
Nordfladdermus
Dvärgpipistrell</t>
        </is>
      </c>
      <c r="V55">
        <f>HYPERLINK("https://klasma.github.io/Logging_0861/artfynd/A 37239-2024 artfynd.xlsx", "A 37239-2024")</f>
        <v/>
      </c>
      <c r="W55">
        <f>HYPERLINK("https://klasma.github.io/Logging_0861/kartor/A 37239-2024 karta.png", "A 37239-2024")</f>
        <v/>
      </c>
      <c r="Y55">
        <f>HYPERLINK("https://klasma.github.io/Logging_0861/klagomål/A 37239-2024 FSC-klagomål.docx", "A 37239-2024")</f>
        <v/>
      </c>
      <c r="Z55">
        <f>HYPERLINK("https://klasma.github.io/Logging_0861/klagomålsmail/A 37239-2024 FSC-klagomål mail.docx", "A 37239-2024")</f>
        <v/>
      </c>
      <c r="AA55">
        <f>HYPERLINK("https://klasma.github.io/Logging_0861/tillsyn/A 37239-2024 tillsynsbegäran.docx", "A 37239-2024")</f>
        <v/>
      </c>
      <c r="AB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46216</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s="2" t="inlineStr">
        <is>
          <t>Blåmossa
Spillkråka
Kungsfågel</t>
        </is>
      </c>
      <c r="V56">
        <f>HYPERLINK("https://klasma.github.io/Logging_0861/artfynd/A 36129-2024 artfynd.xlsx", "A 36129-2024")</f>
        <v/>
      </c>
      <c r="W56">
        <f>HYPERLINK("https://klasma.github.io/Logging_0861/kartor/A 36129-2024 karta.png", "A 36129-2024")</f>
        <v/>
      </c>
      <c r="Y56">
        <f>HYPERLINK("https://klasma.github.io/Logging_0861/klagomål/A 36129-2024 FSC-klagomål.docx", "A 36129-2024")</f>
        <v/>
      </c>
      <c r="Z56">
        <f>HYPERLINK("https://klasma.github.io/Logging_0861/klagomålsmail/A 36129-2024 FSC-klagomål mail.docx", "A 36129-2024")</f>
        <v/>
      </c>
      <c r="AA56">
        <f>HYPERLINK("https://klasma.github.io/Logging_0861/tillsyn/A 36129-2024 tillsynsbegäran.docx", "A 36129-2024")</f>
        <v/>
      </c>
      <c r="AB56">
        <f>HYPERLINK("https://klasma.github.io/Logging_0861/tillsynsmail/A 36129-2024 tillsynsbegäran mail.docx", "A 36129-2024")</f>
        <v/>
      </c>
      <c r="AC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46216</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s="2" t="inlineStr">
        <is>
          <t>Dvärgpipistrell
Hasselmus
Större brunfladdermus</t>
        </is>
      </c>
      <c r="V57">
        <f>HYPERLINK("https://klasma.github.io/Logging_0861/artfynd/A 25218-2023 artfynd.xlsx", "A 25218-2023")</f>
        <v/>
      </c>
      <c r="W57">
        <f>HYPERLINK("https://klasma.github.io/Logging_0861/kartor/A 25218-2023 karta.png", "A 25218-2023")</f>
        <v/>
      </c>
      <c r="Y57">
        <f>HYPERLINK("https://klasma.github.io/Logging_0861/klagomål/A 25218-2023 FSC-klagomål.docx", "A 25218-2023")</f>
        <v/>
      </c>
      <c r="Z57">
        <f>HYPERLINK("https://klasma.github.io/Logging_0861/klagomålsmail/A 25218-2023 FSC-klagomål mail.docx", "A 25218-2023")</f>
        <v/>
      </c>
      <c r="AA57">
        <f>HYPERLINK("https://klasma.github.io/Logging_0861/tillsyn/A 25218-2023 tillsynsbegäran.docx", "A 25218-2023")</f>
        <v/>
      </c>
      <c r="AB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46216</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s="2" t="inlineStr">
        <is>
          <t>Kricka
Nattskärra
Spillkråka</t>
        </is>
      </c>
      <c r="V58">
        <f>HYPERLINK("https://klasma.github.io/Logging_0861/artfynd/A 7941-2024 artfynd.xlsx", "A 7941-2024")</f>
        <v/>
      </c>
      <c r="W58">
        <f>HYPERLINK("https://klasma.github.io/Logging_0861/kartor/A 7941-2024 karta.png", "A 7941-2024")</f>
        <v/>
      </c>
      <c r="Y58">
        <f>HYPERLINK("https://klasma.github.io/Logging_0861/klagomål/A 7941-2024 FSC-klagomål.docx", "A 7941-2024")</f>
        <v/>
      </c>
      <c r="Z58">
        <f>HYPERLINK("https://klasma.github.io/Logging_0861/klagomålsmail/A 7941-2024 FSC-klagomål mail.docx", "A 7941-2024")</f>
        <v/>
      </c>
      <c r="AA58">
        <f>HYPERLINK("https://klasma.github.io/Logging_0861/tillsyn/A 7941-2024 tillsynsbegäran.docx", "A 7941-2024")</f>
        <v/>
      </c>
      <c r="AB58">
        <f>HYPERLINK("https://klasma.github.io/Logging_0861/tillsynsmail/A 7941-2024 tillsynsbegäran mail.docx", "A 7941-2024")</f>
        <v/>
      </c>
      <c r="AC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46216</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s="2" t="inlineStr">
        <is>
          <t>Nordfladdermus
Dvärgpipistrell
Större brunfladdermus</t>
        </is>
      </c>
      <c r="V59">
        <f>HYPERLINK("https://klasma.github.io/Logging_0861/artfynd/A 2719-2024 artfynd.xlsx", "A 2719-2024")</f>
        <v/>
      </c>
      <c r="W59">
        <f>HYPERLINK("https://klasma.github.io/Logging_0861/kartor/A 2719-2024 karta.png", "A 2719-2024")</f>
        <v/>
      </c>
      <c r="Y59">
        <f>HYPERLINK("https://klasma.github.io/Logging_0861/klagomål/A 2719-2024 FSC-klagomål.docx", "A 2719-2024")</f>
        <v/>
      </c>
      <c r="Z59">
        <f>HYPERLINK("https://klasma.github.io/Logging_0861/klagomålsmail/A 2719-2024 FSC-klagomål mail.docx", "A 2719-2024")</f>
        <v/>
      </c>
      <c r="AA59">
        <f>HYPERLINK("https://klasma.github.io/Logging_0861/tillsyn/A 2719-2024 tillsynsbegäran.docx", "A 2719-2024")</f>
        <v/>
      </c>
      <c r="AB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46216</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s="2" t="inlineStr">
        <is>
          <t>Brandnäva
Svedjenäva
Spillkråka</t>
        </is>
      </c>
      <c r="V60">
        <f>HYPERLINK("https://klasma.github.io/Logging_0861/artfynd/A 49122-2021 artfynd.xlsx", "A 49122-2021")</f>
        <v/>
      </c>
      <c r="W60">
        <f>HYPERLINK("https://klasma.github.io/Logging_0861/kartor/A 49122-2021 karta.png", "A 49122-2021")</f>
        <v/>
      </c>
      <c r="Y60">
        <f>HYPERLINK("https://klasma.github.io/Logging_0861/klagomål/A 49122-2021 FSC-klagomål.docx", "A 49122-2021")</f>
        <v/>
      </c>
      <c r="Z60">
        <f>HYPERLINK("https://klasma.github.io/Logging_0861/klagomålsmail/A 49122-2021 FSC-klagomål mail.docx", "A 49122-2021")</f>
        <v/>
      </c>
      <c r="AA60">
        <f>HYPERLINK("https://klasma.github.io/Logging_0861/tillsyn/A 49122-2021 tillsynsbegäran.docx", "A 49122-2021")</f>
        <v/>
      </c>
      <c r="AB60">
        <f>HYPERLINK("https://klasma.github.io/Logging_0861/tillsynsmail/A 49122-2021 tillsynsbegäran mail.docx", "A 49122-2021")</f>
        <v/>
      </c>
      <c r="AC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46216</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s="2" t="inlineStr">
        <is>
          <t>Läderbagge
Ekticka
Gulnål</t>
        </is>
      </c>
      <c r="V61">
        <f>HYPERLINK("https://klasma.github.io/Logging_0861/artfynd/A 24108-2024 artfynd.xlsx", "A 24108-2024")</f>
        <v/>
      </c>
      <c r="W61">
        <f>HYPERLINK("https://klasma.github.io/Logging_0861/kartor/A 24108-2024 karta.png", "A 24108-2024")</f>
        <v/>
      </c>
      <c r="Y61">
        <f>HYPERLINK("https://klasma.github.io/Logging_0861/klagomål/A 24108-2024 FSC-klagomål.docx", "A 24108-2024")</f>
        <v/>
      </c>
      <c r="Z61">
        <f>HYPERLINK("https://klasma.github.io/Logging_0861/klagomålsmail/A 24108-2024 FSC-klagomål mail.docx", "A 24108-2024")</f>
        <v/>
      </c>
      <c r="AA61">
        <f>HYPERLINK("https://klasma.github.io/Logging_0861/tillsyn/A 24108-2024 tillsynsbegäran.docx", "A 24108-2024")</f>
        <v/>
      </c>
      <c r="AB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46216</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46216</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46216</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46216</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31373-2025</t>
        </is>
      </c>
      <c r="B66" t="inlineStr">
        <is>
          <t>avverkningsanmälan</t>
        </is>
      </c>
      <c r="C66" t="inlineStr">
        <is>
          <t>Föryngringsavverkning</t>
        </is>
      </c>
      <c r="D66" s="1" t="n">
        <v>45833</v>
      </c>
      <c r="E66" s="1" t="n">
        <v>46216</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s="2" t="inlineStr">
        <is>
          <t>Nordfladdermus
Nattskärra</t>
        </is>
      </c>
      <c r="V66">
        <f>HYPERLINK("https://klasma.github.io/Logging_0861/artfynd/A 31373-2025 artfynd.xlsx", "A 31373-2025")</f>
        <v/>
      </c>
      <c r="W66">
        <f>HYPERLINK("https://klasma.github.io/Logging_0861/kartor/A 31373-2025 karta.png", "A 31373-2025")</f>
        <v/>
      </c>
      <c r="Y66">
        <f>HYPERLINK("https://klasma.github.io/Logging_0861/klagomål/A 31373-2025 FSC-klagomål.docx", "A 31373-2025")</f>
        <v/>
      </c>
      <c r="Z66">
        <f>HYPERLINK("https://klasma.github.io/Logging_0861/klagomålsmail/A 31373-2025 FSC-klagomål mail.docx", "A 31373-2025")</f>
        <v/>
      </c>
      <c r="AA66">
        <f>HYPERLINK("https://klasma.github.io/Logging_0861/tillsyn/A 31373-2025 tillsynsbegäran.docx", "A 31373-2025")</f>
        <v/>
      </c>
      <c r="AB66">
        <f>HYPERLINK("https://klasma.github.io/Logging_0861/tillsynsmail/A 31373-2025 tillsynsbegäran mail.docx", "A 31373-2025")</f>
        <v/>
      </c>
      <c r="AC66">
        <f>HYPERLINK("https://klasma.github.io/Logging_0861/fåglar/A 31373-2025 prioriterade fågelarter.docx", "A 31373-2025")</f>
        <v/>
      </c>
    </row>
    <row r="67" ht="15" customHeight="1">
      <c r="A67" t="inlineStr">
        <is>
          <t>A 44001-2023</t>
        </is>
      </c>
      <c r="B67" t="inlineStr">
        <is>
          <t>avverkningsanmälan</t>
        </is>
      </c>
      <c r="C67" t="inlineStr">
        <is>
          <t>Föryngringsavverkning</t>
        </is>
      </c>
      <c r="D67" s="1" t="n">
        <v>45188</v>
      </c>
      <c r="E67" s="1" t="n">
        <v>46216</v>
      </c>
      <c r="F67" t="inlineStr">
        <is>
          <t>KALMAR LÄN</t>
        </is>
      </c>
      <c r="G67" t="inlineStr">
        <is>
          <t>MÖNSTERÅS</t>
        </is>
      </c>
      <c r="I67" t="n">
        <v>1.9</v>
      </c>
      <c r="J67" t="n">
        <v>1</v>
      </c>
      <c r="K67" t="n">
        <v>1</v>
      </c>
      <c r="L67" t="n">
        <v>0</v>
      </c>
      <c r="M67" t="n">
        <v>0</v>
      </c>
      <c r="N67" t="n">
        <v>0</v>
      </c>
      <c r="O67" t="n">
        <v>0</v>
      </c>
      <c r="P67" t="n">
        <v>0</v>
      </c>
      <c r="Q67" t="n">
        <v>0</v>
      </c>
      <c r="R67" t="n">
        <v>0</v>
      </c>
      <c r="S67" t="n">
        <v>2</v>
      </c>
      <c r="T67" t="n">
        <v>2</v>
      </c>
      <c r="U67" s="2" t="inlineStr">
        <is>
          <t>Grönpyrola
Kungsfågel</t>
        </is>
      </c>
      <c r="V67">
        <f>HYPERLINK("https://klasma.github.io/Logging_0861/artfynd/A 44001-2023 artfynd.xlsx", "A 44001-2023")</f>
        <v/>
      </c>
      <c r="W67">
        <f>HYPERLINK("https://klasma.github.io/Logging_0861/kartor/A 44001-2023 karta.png", "A 44001-2023")</f>
        <v/>
      </c>
      <c r="Y67">
        <f>HYPERLINK("https://klasma.github.io/Logging_0861/klagomål/A 44001-2023 FSC-klagomål.docx", "A 44001-2023")</f>
        <v/>
      </c>
      <c r="Z67">
        <f>HYPERLINK("https://klasma.github.io/Logging_0861/klagomålsmail/A 44001-2023 FSC-klagomål mail.docx", "A 44001-2023")</f>
        <v/>
      </c>
      <c r="AA67">
        <f>HYPERLINK("https://klasma.github.io/Logging_0861/tillsyn/A 44001-2023 tillsynsbegäran.docx", "A 44001-2023")</f>
        <v/>
      </c>
      <c r="AB67">
        <f>HYPERLINK("https://klasma.github.io/Logging_0861/tillsynsmail/A 44001-2023 tillsynsbegäran mail.docx", "A 44001-2023")</f>
        <v/>
      </c>
    </row>
    <row r="68" ht="15" customHeight="1">
      <c r="A68" t="inlineStr">
        <is>
          <t>A 26272-2023</t>
        </is>
      </c>
      <c r="B68" t="inlineStr">
        <is>
          <t>avverkningsanmälan</t>
        </is>
      </c>
      <c r="C68" t="inlineStr">
        <is>
          <t>Föryngringsavverkning</t>
        </is>
      </c>
      <c r="D68" s="1" t="n">
        <v>45091</v>
      </c>
      <c r="E68" s="1" t="n">
        <v>46216</v>
      </c>
      <c r="F68" t="inlineStr">
        <is>
          <t>KALMAR LÄN</t>
        </is>
      </c>
      <c r="G68" t="inlineStr">
        <is>
          <t>MÖNSTERÅS</t>
        </is>
      </c>
      <c r="I68" t="n">
        <v>1.6</v>
      </c>
      <c r="J68" t="n">
        <v>2</v>
      </c>
      <c r="K68" t="n">
        <v>0</v>
      </c>
      <c r="L68" t="n">
        <v>0</v>
      </c>
      <c r="M68" t="n">
        <v>0</v>
      </c>
      <c r="N68" t="n">
        <v>0</v>
      </c>
      <c r="O68" t="n">
        <v>0</v>
      </c>
      <c r="P68" t="n">
        <v>0</v>
      </c>
      <c r="Q68" t="n">
        <v>0</v>
      </c>
      <c r="R68" t="n">
        <v>0</v>
      </c>
      <c r="S68" t="n">
        <v>2</v>
      </c>
      <c r="T68" t="n">
        <v>2</v>
      </c>
      <c r="U68" s="2" t="inlineStr">
        <is>
          <t>Dvärgpipistrell
Större brunfladdermus</t>
        </is>
      </c>
      <c r="V68">
        <f>HYPERLINK("https://klasma.github.io/Logging_0861/artfynd/A 26272-2023 artfynd.xlsx", "A 26272-2023")</f>
        <v/>
      </c>
      <c r="W68">
        <f>HYPERLINK("https://klasma.github.io/Logging_0861/kartor/A 26272-2023 karta.png", "A 26272-2023")</f>
        <v/>
      </c>
      <c r="Y68">
        <f>HYPERLINK("https://klasma.github.io/Logging_0861/klagomål/A 26272-2023 FSC-klagomål.docx", "A 26272-2023")</f>
        <v/>
      </c>
      <c r="Z68">
        <f>HYPERLINK("https://klasma.github.io/Logging_0861/klagomålsmail/A 26272-2023 FSC-klagomål mail.docx", "A 26272-2023")</f>
        <v/>
      </c>
      <c r="AA68">
        <f>HYPERLINK("https://klasma.github.io/Logging_0861/tillsyn/A 26272-2023 tillsynsbegäran.docx", "A 26272-2023")</f>
        <v/>
      </c>
      <c r="AB68">
        <f>HYPERLINK("https://klasma.github.io/Logging_0861/tillsynsmail/A 26272-2023 tillsynsbegäran mail.docx", "A 26272-2023")</f>
        <v/>
      </c>
    </row>
    <row r="69" ht="15" customHeight="1">
      <c r="A69" t="inlineStr">
        <is>
          <t>A 15941-2024</t>
        </is>
      </c>
      <c r="B69" t="inlineStr">
        <is>
          <t>avverkningsanmälan</t>
        </is>
      </c>
      <c r="C69" t="inlineStr">
        <is>
          <t>Föryngringsavverkning</t>
        </is>
      </c>
      <c r="D69" s="1" t="n">
        <v>45405</v>
      </c>
      <c r="E69" s="1" t="n">
        <v>46216</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s="2" t="inlineStr">
        <is>
          <t>Knärot
Spillkråka</t>
        </is>
      </c>
      <c r="V69">
        <f>HYPERLINK("https://klasma.github.io/Logging_0861/artfynd/A 15941-2024 artfynd.xlsx", "A 15941-2024")</f>
        <v/>
      </c>
      <c r="W69">
        <f>HYPERLINK("https://klasma.github.io/Logging_0861/kartor/A 15941-2024 karta.png", "A 15941-2024")</f>
        <v/>
      </c>
      <c r="X69">
        <f>HYPERLINK("https://klasma.github.io/Logging_0861/knärot/A 15941-2024 karta knärot.png", "A 15941-2024")</f>
        <v/>
      </c>
      <c r="Y69">
        <f>HYPERLINK("https://klasma.github.io/Logging_0861/klagomål/A 15941-2024 FSC-klagomål.docx", "A 15941-2024")</f>
        <v/>
      </c>
      <c r="Z69">
        <f>HYPERLINK("https://klasma.github.io/Logging_0861/klagomålsmail/A 15941-2024 FSC-klagomål mail.docx", "A 15941-2024")</f>
        <v/>
      </c>
      <c r="AA69">
        <f>HYPERLINK("https://klasma.github.io/Logging_0861/tillsyn/A 15941-2024 tillsynsbegäran.docx", "A 15941-2024")</f>
        <v/>
      </c>
      <c r="AB69">
        <f>HYPERLINK("https://klasma.github.io/Logging_0861/tillsynsmail/A 15941-2024 tillsynsbegäran mail.docx", "A 15941-2024")</f>
        <v/>
      </c>
      <c r="AC69">
        <f>HYPERLINK("https://klasma.github.io/Logging_0861/fåglar/A 15941-2024 prioriterade fågelarter.docx", "A 15941-2024")</f>
        <v/>
      </c>
    </row>
    <row r="70" ht="15" customHeight="1">
      <c r="A70" t="inlineStr">
        <is>
          <t>A 1973-2023</t>
        </is>
      </c>
      <c r="B70" t="inlineStr">
        <is>
          <t>avverkningsanmälan</t>
        </is>
      </c>
      <c r="C70" t="inlineStr">
        <is>
          <t>Föryngringsavverkning</t>
        </is>
      </c>
      <c r="D70" s="1" t="n">
        <v>44939</v>
      </c>
      <c r="E70" s="1" t="n">
        <v>46216</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s="2" t="inlineStr">
        <is>
          <t>Notolaemus unifasciatus
Thymalus limbatus</t>
        </is>
      </c>
      <c r="V70">
        <f>HYPERLINK("https://klasma.github.io/Logging_0861/artfynd/A 1973-2023 artfynd.xlsx", "A 1973-2023")</f>
        <v/>
      </c>
      <c r="W70">
        <f>HYPERLINK("https://klasma.github.io/Logging_0861/kartor/A 1973-2023 karta.png", "A 1973-2023")</f>
        <v/>
      </c>
      <c r="Y70">
        <f>HYPERLINK("https://klasma.github.io/Logging_0861/klagomål/A 1973-2023 FSC-klagomål.docx", "A 1973-2023")</f>
        <v/>
      </c>
      <c r="Z70">
        <f>HYPERLINK("https://klasma.github.io/Logging_0861/klagomålsmail/A 1973-2023 FSC-klagomål mail.docx", "A 1973-2023")</f>
        <v/>
      </c>
      <c r="AA70">
        <f>HYPERLINK("https://klasma.github.io/Logging_0861/tillsyn/A 1973-2023 tillsynsbegäran.docx", "A 1973-2023")</f>
        <v/>
      </c>
      <c r="AB70">
        <f>HYPERLINK("https://klasma.github.io/Logging_0861/tillsynsmail/A 1973-2023 tillsynsbegäran mail.docx", "A 1973-2023")</f>
        <v/>
      </c>
    </row>
    <row r="71" ht="15" customHeight="1">
      <c r="A71" t="inlineStr">
        <is>
          <t>A 16859-2026</t>
        </is>
      </c>
      <c r="B71" t="inlineStr">
        <is>
          <t>avverkningsanmälan</t>
        </is>
      </c>
      <c r="C71" t="inlineStr">
        <is>
          <t>Föryngringsavverkning</t>
        </is>
      </c>
      <c r="D71" s="1" t="n">
        <v>46113</v>
      </c>
      <c r="E71" s="1" t="n">
        <v>46216</v>
      </c>
      <c r="F71" t="inlineStr">
        <is>
          <t>KALMAR LÄN</t>
        </is>
      </c>
      <c r="G71" t="inlineStr">
        <is>
          <t>MÖNSTERÅS</t>
        </is>
      </c>
      <c r="H71" t="inlineStr">
        <is>
          <t>Kommuner</t>
        </is>
      </c>
      <c r="I71" t="n">
        <v>5.4</v>
      </c>
      <c r="J71" t="n">
        <v>1</v>
      </c>
      <c r="K71" t="n">
        <v>0</v>
      </c>
      <c r="L71" t="n">
        <v>1</v>
      </c>
      <c r="M71" t="n">
        <v>0</v>
      </c>
      <c r="N71" t="n">
        <v>0</v>
      </c>
      <c r="O71" t="n">
        <v>0</v>
      </c>
      <c r="P71" t="n">
        <v>0</v>
      </c>
      <c r="Q71" t="n">
        <v>1</v>
      </c>
      <c r="R71" t="n">
        <v>0</v>
      </c>
      <c r="S71" t="n">
        <v>2</v>
      </c>
      <c r="T71" t="n">
        <v>3</v>
      </c>
      <c r="U71" s="2" t="inlineStr">
        <is>
          <t>Ullticka
Spillkråka</t>
        </is>
      </c>
      <c r="V71">
        <f>HYPERLINK("https://klasma.github.io/Logging_0861/artfynd/A 16859-2026 artfynd.xlsx", "A 16859-2026")</f>
        <v/>
      </c>
      <c r="W71">
        <f>HYPERLINK("https://klasma.github.io/Logging_0861/kartor/A 16859-2026 karta.png", "A 16859-2026")</f>
        <v/>
      </c>
      <c r="Y71">
        <f>HYPERLINK("https://klasma.github.io/Logging_0861/klagomål/A 16859-2026 FSC-klagomål.docx", "A 16859-2026")</f>
        <v/>
      </c>
      <c r="Z71">
        <f>HYPERLINK("https://klasma.github.io/Logging_0861/klagomålsmail/A 16859-2026 FSC-klagomål mail.docx", "A 16859-2026")</f>
        <v/>
      </c>
      <c r="AA71">
        <f>HYPERLINK("https://klasma.github.io/Logging_0861/tillsyn/A 16859-2026 tillsynsbegäran.docx", "A 16859-2026")</f>
        <v/>
      </c>
      <c r="AB71">
        <f>HYPERLINK("https://klasma.github.io/Logging_0861/tillsynsmail/A 16859-2026 tillsynsbegäran mail.docx", "A 16859-2026")</f>
        <v/>
      </c>
      <c r="AC71">
        <f>HYPERLINK("https://klasma.github.io/Logging_0861/fåglar/A 16859-2026 prioriterade fågelarter.docx", "A 16859-2026")</f>
        <v/>
      </c>
    </row>
    <row r="72" ht="15" customHeight="1">
      <c r="A72" t="inlineStr">
        <is>
          <t>A 52866-2022</t>
        </is>
      </c>
      <c r="B72" t="inlineStr">
        <is>
          <t>avverkningsanmälan</t>
        </is>
      </c>
      <c r="C72" t="inlineStr">
        <is>
          <t>Avverkning för att bevara och utveckla /försöksver</t>
        </is>
      </c>
      <c r="D72" s="1" t="n">
        <v>44875</v>
      </c>
      <c r="E72" s="1" t="n">
        <v>46216</v>
      </c>
      <c r="F72" t="inlineStr">
        <is>
          <t>KALMAR LÄN</t>
        </is>
      </c>
      <c r="G72" t="inlineStr">
        <is>
          <t>MÖNSTERÅS</t>
        </is>
      </c>
      <c r="I72" t="n">
        <v>1.3</v>
      </c>
      <c r="J72" t="n">
        <v>0</v>
      </c>
      <c r="K72" t="n">
        <v>0</v>
      </c>
      <c r="L72" t="n">
        <v>1</v>
      </c>
      <c r="M72" t="n">
        <v>1</v>
      </c>
      <c r="N72" t="n">
        <v>0</v>
      </c>
      <c r="O72" t="n">
        <v>0</v>
      </c>
      <c r="P72" t="n">
        <v>0</v>
      </c>
      <c r="Q72" t="n">
        <v>2</v>
      </c>
      <c r="R72" t="n">
        <v>1</v>
      </c>
      <c r="S72" t="n">
        <v>2</v>
      </c>
      <c r="T72" t="n">
        <v>2</v>
      </c>
      <c r="U72" s="2" t="inlineStr">
        <is>
          <t>Ekpricklav
Ekticka</t>
        </is>
      </c>
      <c r="V72">
        <f>HYPERLINK("https://klasma.github.io/Logging_0861/artfynd/A 52866-2022 artfynd.xlsx", "A 52866-2022")</f>
        <v/>
      </c>
      <c r="W72">
        <f>HYPERLINK("https://klasma.github.io/Logging_0861/kartor/A 52866-2022 karta.png", "A 52866-2022")</f>
        <v/>
      </c>
      <c r="Y72">
        <f>HYPERLINK("https://klasma.github.io/Logging_0861/klagomål/A 52866-2022 FSC-klagomål.docx", "A 52866-2022")</f>
        <v/>
      </c>
      <c r="Z72">
        <f>HYPERLINK("https://klasma.github.io/Logging_0861/klagomålsmail/A 52866-2022 FSC-klagomål mail.docx", "A 52866-2022")</f>
        <v/>
      </c>
      <c r="AA72">
        <f>HYPERLINK("https://klasma.github.io/Logging_0861/tillsyn/A 52866-2022 tillsynsbegäran.docx", "A 52866-2022")</f>
        <v/>
      </c>
      <c r="AB72">
        <f>HYPERLINK("https://klasma.github.io/Logging_0861/tillsynsmail/A 52866-2022 tillsynsbegäran mail.docx", "A 52866-2022")</f>
        <v/>
      </c>
    </row>
    <row r="73" ht="15" customHeight="1">
      <c r="A73" t="inlineStr">
        <is>
          <t>A 40995-2024</t>
        </is>
      </c>
      <c r="B73" t="inlineStr">
        <is>
          <t>avverkningsanmälan</t>
        </is>
      </c>
      <c r="C73" t="inlineStr">
        <is>
          <t>Föryngringsavverkning</t>
        </is>
      </c>
      <c r="D73" s="1" t="n">
        <v>45558</v>
      </c>
      <c r="E73" s="1" t="n">
        <v>46216</v>
      </c>
      <c r="F73" t="inlineStr">
        <is>
          <t>KALMAR LÄN</t>
        </is>
      </c>
      <c r="G73" t="inlineStr">
        <is>
          <t>MÖNSTERÅS</t>
        </is>
      </c>
      <c r="I73" t="n">
        <v>1.8</v>
      </c>
      <c r="J73" t="n">
        <v>1</v>
      </c>
      <c r="K73" t="n">
        <v>0</v>
      </c>
      <c r="L73" t="n">
        <v>1</v>
      </c>
      <c r="M73" t="n">
        <v>0</v>
      </c>
      <c r="N73" t="n">
        <v>0</v>
      </c>
      <c r="O73" t="n">
        <v>0</v>
      </c>
      <c r="P73" t="n">
        <v>0</v>
      </c>
      <c r="Q73" t="n">
        <v>1</v>
      </c>
      <c r="R73" t="n">
        <v>0</v>
      </c>
      <c r="S73" t="n">
        <v>2</v>
      </c>
      <c r="T73" t="n">
        <v>2</v>
      </c>
      <c r="U73" s="2" t="inlineStr">
        <is>
          <t>Åkerkulla
Mattlummer</t>
        </is>
      </c>
      <c r="V73">
        <f>HYPERLINK("https://klasma.github.io/Logging_0861/artfynd/A 40995-2024 artfynd.xlsx", "A 40995-2024")</f>
        <v/>
      </c>
      <c r="W73">
        <f>HYPERLINK("https://klasma.github.io/Logging_0861/kartor/A 40995-2024 karta.png", "A 40995-2024")</f>
        <v/>
      </c>
      <c r="Y73">
        <f>HYPERLINK("https://klasma.github.io/Logging_0861/klagomål/A 40995-2024 FSC-klagomål.docx", "A 40995-2024")</f>
        <v/>
      </c>
      <c r="Z73">
        <f>HYPERLINK("https://klasma.github.io/Logging_0861/klagomålsmail/A 40995-2024 FSC-klagomål mail.docx", "A 40995-2024")</f>
        <v/>
      </c>
      <c r="AA73">
        <f>HYPERLINK("https://klasma.github.io/Logging_0861/tillsyn/A 40995-2024 tillsynsbegäran.docx", "A 40995-2024")</f>
        <v/>
      </c>
      <c r="AB73">
        <f>HYPERLINK("https://klasma.github.io/Logging_0861/tillsynsmail/A 40995-2024 tillsynsbegäran mail.docx", "A 40995-2024")</f>
        <v/>
      </c>
    </row>
    <row r="74" ht="15" customHeight="1">
      <c r="A74" t="inlineStr">
        <is>
          <t>A 21800-2026</t>
        </is>
      </c>
      <c r="B74" t="inlineStr">
        <is>
          <t>avverkningsanmälan</t>
        </is>
      </c>
      <c r="C74" t="inlineStr">
        <is>
          <t>Föryngringsavverkning</t>
        </is>
      </c>
      <c r="D74" s="1" t="n">
        <v>46150</v>
      </c>
      <c r="E74" s="1" t="n">
        <v>46216</v>
      </c>
      <c r="F74" t="inlineStr">
        <is>
          <t>KALMAR LÄN</t>
        </is>
      </c>
      <c r="G74" t="inlineStr">
        <is>
          <t>MÖNSTERÅS</t>
        </is>
      </c>
      <c r="H74" t="inlineStr">
        <is>
          <t>Kyrkan</t>
        </is>
      </c>
      <c r="I74" t="n">
        <v>4.6</v>
      </c>
      <c r="J74" t="n">
        <v>2</v>
      </c>
      <c r="K74" t="n">
        <v>0</v>
      </c>
      <c r="L74" t="n">
        <v>1</v>
      </c>
      <c r="M74" t="n">
        <v>0</v>
      </c>
      <c r="N74" t="n">
        <v>0</v>
      </c>
      <c r="O74" t="n">
        <v>0</v>
      </c>
      <c r="P74" t="n">
        <v>0</v>
      </c>
      <c r="Q74" t="n">
        <v>1</v>
      </c>
      <c r="R74" t="n">
        <v>0</v>
      </c>
      <c r="S74" t="n">
        <v>2</v>
      </c>
      <c r="T74" t="n">
        <v>2</v>
      </c>
      <c r="U74" s="2" t="inlineStr">
        <is>
          <t>Järnsparv
Spillkråka</t>
        </is>
      </c>
      <c r="V74">
        <f>HYPERLINK("https://klasma.github.io/Logging_0861/artfynd/A 21800-2026 artfynd.xlsx", "A 21800-2026")</f>
        <v/>
      </c>
      <c r="W74">
        <f>HYPERLINK("https://klasma.github.io/Logging_0861/kartor/A 21800-2026 karta.png", "A 21800-2026")</f>
        <v/>
      </c>
      <c r="Y74">
        <f>HYPERLINK("https://klasma.github.io/Logging_0861/klagomål/A 21800-2026 FSC-klagomål.docx", "A 21800-2026")</f>
        <v/>
      </c>
      <c r="Z74">
        <f>HYPERLINK("https://klasma.github.io/Logging_0861/klagomålsmail/A 21800-2026 FSC-klagomål mail.docx", "A 21800-2026")</f>
        <v/>
      </c>
      <c r="AA74">
        <f>HYPERLINK("https://klasma.github.io/Logging_0861/tillsyn/A 21800-2026 tillsynsbegäran.docx", "A 21800-2026")</f>
        <v/>
      </c>
      <c r="AB74">
        <f>HYPERLINK("https://klasma.github.io/Logging_0861/tillsynsmail/A 21800-2026 tillsynsbegäran mail.docx", "A 21800-2026")</f>
        <v/>
      </c>
      <c r="AC74">
        <f>HYPERLINK("https://klasma.github.io/Logging_0861/fåglar/A 21800-2026 prioriterade fågelarter.docx", "A 21800-2026")</f>
        <v/>
      </c>
    </row>
    <row r="75" ht="15" customHeight="1">
      <c r="A75" t="inlineStr">
        <is>
          <t>A 22633-2026</t>
        </is>
      </c>
      <c r="B75" t="inlineStr">
        <is>
          <t>avverkningsanmälan</t>
        </is>
      </c>
      <c r="C75" t="inlineStr">
        <is>
          <t>Avverkning för att bevara och utveckla /försöksver</t>
        </is>
      </c>
      <c r="D75" s="1" t="n">
        <v>46155</v>
      </c>
      <c r="E75" s="1" t="n">
        <v>46216</v>
      </c>
      <c r="F75" t="inlineStr">
        <is>
          <t>KALMAR LÄN</t>
        </is>
      </c>
      <c r="G75" t="inlineStr">
        <is>
          <t>MÖNSTERÅS</t>
        </is>
      </c>
      <c r="H75" t="inlineStr">
        <is>
          <t>Kommuner</t>
        </is>
      </c>
      <c r="I75" t="n">
        <v>2.2</v>
      </c>
      <c r="J75" t="n">
        <v>2</v>
      </c>
      <c r="K75" t="n">
        <v>0</v>
      </c>
      <c r="L75" t="n">
        <v>0</v>
      </c>
      <c r="M75" t="n">
        <v>0</v>
      </c>
      <c r="N75" t="n">
        <v>0</v>
      </c>
      <c r="O75" t="n">
        <v>0</v>
      </c>
      <c r="P75" t="n">
        <v>0</v>
      </c>
      <c r="Q75" t="n">
        <v>0</v>
      </c>
      <c r="R75" t="n">
        <v>0</v>
      </c>
      <c r="S75" t="n">
        <v>2</v>
      </c>
      <c r="T75" t="n">
        <v>2</v>
      </c>
      <c r="U75" s="2" t="inlineStr">
        <is>
          <t>Blåsippa
Hårklomossa</t>
        </is>
      </c>
      <c r="V75">
        <f>HYPERLINK("https://klasma.github.io/Logging_0861/artfynd/A 22633-2026 artfynd.xlsx", "A 22633-2026")</f>
        <v/>
      </c>
      <c r="W75">
        <f>HYPERLINK("https://klasma.github.io/Logging_0861/kartor/A 22633-2026 karta.png", "A 22633-2026")</f>
        <v/>
      </c>
      <c r="Y75">
        <f>HYPERLINK("https://klasma.github.io/Logging_0861/klagomål/A 22633-2026 FSC-klagomål.docx", "A 22633-2026")</f>
        <v/>
      </c>
      <c r="Z75">
        <f>HYPERLINK("https://klasma.github.io/Logging_0861/klagomålsmail/A 22633-2026 FSC-klagomål mail.docx", "A 22633-2026")</f>
        <v/>
      </c>
      <c r="AA75">
        <f>HYPERLINK("https://klasma.github.io/Logging_0861/tillsyn/A 22633-2026 tillsynsbegäran.docx", "A 22633-2026")</f>
        <v/>
      </c>
      <c r="AB75">
        <f>HYPERLINK("https://klasma.github.io/Logging_0861/tillsynsmail/A 22633-2026 tillsynsbegäran mail.docx", "A 22633-2026")</f>
        <v/>
      </c>
    </row>
    <row r="76" ht="15" customHeight="1">
      <c r="A76" t="inlineStr">
        <is>
          <t>A 36365-2024</t>
        </is>
      </c>
      <c r="B76" t="inlineStr">
        <is>
          <t>avverkningsanmälan</t>
        </is>
      </c>
      <c r="C76" t="inlineStr">
        <is>
          <t>Föryngringsavverkning</t>
        </is>
      </c>
      <c r="D76" s="1" t="n">
        <v>45534</v>
      </c>
      <c r="E76" s="1" t="n">
        <v>46216</v>
      </c>
      <c r="F76" t="inlineStr">
        <is>
          <t>KALMAR LÄN</t>
        </is>
      </c>
      <c r="G76" t="inlineStr">
        <is>
          <t>MÖNSTERÅS</t>
        </is>
      </c>
      <c r="H76" t="inlineStr">
        <is>
          <t>Kommuner</t>
        </is>
      </c>
      <c r="I76" t="n">
        <v>1.9</v>
      </c>
      <c r="J76" t="n">
        <v>2</v>
      </c>
      <c r="K76" t="n">
        <v>0</v>
      </c>
      <c r="L76" t="n">
        <v>1</v>
      </c>
      <c r="M76" t="n">
        <v>0</v>
      </c>
      <c r="N76" t="n">
        <v>0</v>
      </c>
      <c r="O76" t="n">
        <v>0</v>
      </c>
      <c r="P76" t="n">
        <v>0</v>
      </c>
      <c r="Q76" t="n">
        <v>1</v>
      </c>
      <c r="R76" t="n">
        <v>0</v>
      </c>
      <c r="S76" t="n">
        <v>2</v>
      </c>
      <c r="T76" t="n">
        <v>2</v>
      </c>
      <c r="U76" s="2" t="inlineStr">
        <is>
          <t>Järnsparv
Vanlig padda</t>
        </is>
      </c>
      <c r="V76">
        <f>HYPERLINK("https://klasma.github.io/Logging_0861/artfynd/A 36365-2024 artfynd.xlsx", "A 36365-2024")</f>
        <v/>
      </c>
      <c r="W76">
        <f>HYPERLINK("https://klasma.github.io/Logging_0861/kartor/A 36365-2024 karta.png", "A 36365-2024")</f>
        <v/>
      </c>
      <c r="Y76">
        <f>HYPERLINK("https://klasma.github.io/Logging_0861/klagomål/A 36365-2024 FSC-klagomål.docx", "A 36365-2024")</f>
        <v/>
      </c>
      <c r="Z76">
        <f>HYPERLINK("https://klasma.github.io/Logging_0861/klagomålsmail/A 36365-2024 FSC-klagomål mail.docx", "A 36365-2024")</f>
        <v/>
      </c>
      <c r="AA76">
        <f>HYPERLINK("https://klasma.github.io/Logging_0861/tillsyn/A 36365-2024 tillsynsbegäran.docx", "A 36365-2024")</f>
        <v/>
      </c>
      <c r="AB76">
        <f>HYPERLINK("https://klasma.github.io/Logging_0861/tillsynsmail/A 36365-2024 tillsynsbegäran mail.docx", "A 36365-2024")</f>
        <v/>
      </c>
      <c r="AC76">
        <f>HYPERLINK("https://klasma.github.io/Logging_0861/fåglar/A 36365-2024 prioriterade fågelarter.docx", "A 36365-2024")</f>
        <v/>
      </c>
    </row>
    <row r="77" ht="15" customHeight="1">
      <c r="A77" t="inlineStr">
        <is>
          <t>A 17528-2025</t>
        </is>
      </c>
      <c r="B77" t="inlineStr">
        <is>
          <t>avverkningsanmälan</t>
        </is>
      </c>
      <c r="C77" t="inlineStr">
        <is>
          <t>Föryngringsavverkning</t>
        </is>
      </c>
      <c r="D77" s="1" t="n">
        <v>45757</v>
      </c>
      <c r="E77" s="1" t="n">
        <v>46216</v>
      </c>
      <c r="F77" t="inlineStr">
        <is>
          <t>KALMAR LÄN</t>
        </is>
      </c>
      <c r="G77" t="inlineStr">
        <is>
          <t>MÖNSTERÅS</t>
        </is>
      </c>
      <c r="H77" t="inlineStr">
        <is>
          <t>Kyrkan</t>
        </is>
      </c>
      <c r="I77" t="n">
        <v>5.5</v>
      </c>
      <c r="J77" t="n">
        <v>2</v>
      </c>
      <c r="K77" t="n">
        <v>0</v>
      </c>
      <c r="L77" t="n">
        <v>1</v>
      </c>
      <c r="M77" t="n">
        <v>0</v>
      </c>
      <c r="N77" t="n">
        <v>0</v>
      </c>
      <c r="O77" t="n">
        <v>0</v>
      </c>
      <c r="P77" t="n">
        <v>0</v>
      </c>
      <c r="Q77" t="n">
        <v>1</v>
      </c>
      <c r="R77" t="n">
        <v>0</v>
      </c>
      <c r="S77" t="n">
        <v>2</v>
      </c>
      <c r="T77" t="n">
        <v>2</v>
      </c>
      <c r="U77" s="2" t="inlineStr">
        <is>
          <t>Sparvuggla
Spillkråka</t>
        </is>
      </c>
      <c r="V77">
        <f>HYPERLINK("https://klasma.github.io/Logging_0861/artfynd/A 17528-2025 artfynd.xlsx", "A 17528-2025")</f>
        <v/>
      </c>
      <c r="W77">
        <f>HYPERLINK("https://klasma.github.io/Logging_0861/kartor/A 17528-2025 karta.png", "A 17528-2025")</f>
        <v/>
      </c>
      <c r="Y77">
        <f>HYPERLINK("https://klasma.github.io/Logging_0861/klagomål/A 17528-2025 FSC-klagomål.docx", "A 17528-2025")</f>
        <v/>
      </c>
      <c r="Z77">
        <f>HYPERLINK("https://klasma.github.io/Logging_0861/klagomålsmail/A 17528-2025 FSC-klagomål mail.docx", "A 17528-2025")</f>
        <v/>
      </c>
      <c r="AA77">
        <f>HYPERLINK("https://klasma.github.io/Logging_0861/tillsyn/A 17528-2025 tillsynsbegäran.docx", "A 17528-2025")</f>
        <v/>
      </c>
      <c r="AB77">
        <f>HYPERLINK("https://klasma.github.io/Logging_0861/tillsynsmail/A 17528-2025 tillsynsbegäran mail.docx", "A 17528-2025")</f>
        <v/>
      </c>
      <c r="AC77">
        <f>HYPERLINK("https://klasma.github.io/Logging_0861/fåglar/A 17528-2025 prioriterade fågelarter.docx", "A 17528-2025")</f>
        <v/>
      </c>
    </row>
    <row r="78" ht="15" customHeight="1">
      <c r="A78" t="inlineStr">
        <is>
          <t>S 2086-2024</t>
        </is>
      </c>
      <c r="B78" t="inlineStr">
        <is>
          <t>samrådsanmälan</t>
        </is>
      </c>
      <c r="C78" t="inlineStr">
        <is>
          <t>Askåterföring</t>
        </is>
      </c>
      <c r="D78" s="1" t="n">
        <v>45453</v>
      </c>
      <c r="E78" s="1" t="n">
        <v>46216</v>
      </c>
      <c r="F78" t="inlineStr">
        <is>
          <t>KALMAR LÄN</t>
        </is>
      </c>
      <c r="G78" t="inlineStr">
        <is>
          <t>MÖNSTERÅS</t>
        </is>
      </c>
      <c r="I78" t="n">
        <v>59.2</v>
      </c>
      <c r="J78" t="n">
        <v>1</v>
      </c>
      <c r="K78" t="n">
        <v>0</v>
      </c>
      <c r="L78" t="n">
        <v>1</v>
      </c>
      <c r="M78" t="n">
        <v>0</v>
      </c>
      <c r="N78" t="n">
        <v>0</v>
      </c>
      <c r="O78" t="n">
        <v>0</v>
      </c>
      <c r="P78" t="n">
        <v>0</v>
      </c>
      <c r="Q78" t="n">
        <v>1</v>
      </c>
      <c r="R78" t="n">
        <v>0</v>
      </c>
      <c r="S78" t="n">
        <v>2</v>
      </c>
      <c r="T78" t="n">
        <v>6</v>
      </c>
      <c r="U78" s="2" t="inlineStr">
        <is>
          <t>Tallticka
Spillkråka</t>
        </is>
      </c>
      <c r="V78">
        <f>HYPERLINK("https://klasma.github.io/Logging_0861/artfynd/S 2086-2024 artfynd.xlsx", "S 2086-2024")</f>
        <v/>
      </c>
      <c r="W78">
        <f>HYPERLINK("https://klasma.github.io/Logging_0861/kartor/S 2086-2024 karta.png", "S 2086-2024")</f>
        <v/>
      </c>
      <c r="Y78">
        <f>HYPERLINK("https://klasma.github.io/Logging_0861/klagomål/S 2086-2024 FSC-klagomål.docx", "S 2086-2024")</f>
        <v/>
      </c>
      <c r="Z78">
        <f>HYPERLINK("https://klasma.github.io/Logging_0861/klagomålsmail/S 2086-2024 FSC-klagomål mail.docx", "S 2086-2024")</f>
        <v/>
      </c>
      <c r="AA78">
        <f>HYPERLINK("https://klasma.github.io/Logging_0861/tillsyn/S 2086-2024 tillsynsbegäran.docx", "S 2086-2024")</f>
        <v/>
      </c>
      <c r="AB78">
        <f>HYPERLINK("https://klasma.github.io/Logging_0861/tillsynsmail/S 2086-2024 tillsynsbegäran mail.docx", "S 2086-2024")</f>
        <v/>
      </c>
      <c r="AC78">
        <f>HYPERLINK("https://klasma.github.io/Logging_0861/fåglar/S 2086-2024 prioriterade fågelarter.docx", "S 2086-2024")</f>
        <v/>
      </c>
    </row>
    <row r="79" ht="15" customHeight="1">
      <c r="A79" t="inlineStr">
        <is>
          <t>S 1613-2022</t>
        </is>
      </c>
      <c r="B79" t="inlineStr">
        <is>
          <t>samrådsanmälan</t>
        </is>
      </c>
      <c r="C79" t="inlineStr">
        <is>
          <t>Askåterföring</t>
        </is>
      </c>
      <c r="D79" s="1" t="n">
        <v>44645</v>
      </c>
      <c r="E79" s="1" t="n">
        <v>46216</v>
      </c>
      <c r="F79" t="inlineStr">
        <is>
          <t>KALMAR LÄN</t>
        </is>
      </c>
      <c r="G79" t="inlineStr">
        <is>
          <t>MÖNSTERÅS</t>
        </is>
      </c>
      <c r="I79" t="n">
        <v>10.5</v>
      </c>
      <c r="J79" t="n">
        <v>2</v>
      </c>
      <c r="K79" t="n">
        <v>0</v>
      </c>
      <c r="L79" t="n">
        <v>1</v>
      </c>
      <c r="M79" t="n">
        <v>0</v>
      </c>
      <c r="N79" t="n">
        <v>0</v>
      </c>
      <c r="O79" t="n">
        <v>0</v>
      </c>
      <c r="P79" t="n">
        <v>0</v>
      </c>
      <c r="Q79" t="n">
        <v>1</v>
      </c>
      <c r="R79" t="n">
        <v>0</v>
      </c>
      <c r="S79" t="n">
        <v>2</v>
      </c>
      <c r="T79" t="n">
        <v>2</v>
      </c>
      <c r="U79" s="2" t="inlineStr">
        <is>
          <t>Nordfladdermus
Dvärgpipistrell</t>
        </is>
      </c>
      <c r="V79">
        <f>HYPERLINK("https://klasma.github.io/Logging_0861/artfynd/S 1613-2022 artfynd.xlsx", "S 1613-2022")</f>
        <v/>
      </c>
      <c r="W79">
        <f>HYPERLINK("https://klasma.github.io/Logging_0861/kartor/S 1613-2022 karta.png", "S 1613-2022")</f>
        <v/>
      </c>
      <c r="Y79">
        <f>HYPERLINK("https://klasma.github.io/Logging_0861/klagomål/S 1613-2022 FSC-klagomål.docx", "S 1613-2022")</f>
        <v/>
      </c>
      <c r="Z79">
        <f>HYPERLINK("https://klasma.github.io/Logging_0861/klagomålsmail/S 1613-2022 FSC-klagomål mail.docx", "S 1613-2022")</f>
        <v/>
      </c>
      <c r="AA79">
        <f>HYPERLINK("https://klasma.github.io/Logging_0861/tillsyn/S 1613-2022 tillsynsbegäran.docx", "S 1613-2022")</f>
        <v/>
      </c>
      <c r="AB79">
        <f>HYPERLINK("https://klasma.github.io/Logging_0861/tillsynsmail/S 1613-2022 tillsynsbegäran mail.docx", "S 1613-2022")</f>
        <v/>
      </c>
    </row>
    <row r="80" ht="15" customHeight="1">
      <c r="A80" t="inlineStr">
        <is>
          <t>S 318-2025</t>
        </is>
      </c>
      <c r="B80" t="inlineStr">
        <is>
          <t>samrådsanmälan</t>
        </is>
      </c>
      <c r="C80" t="inlineStr">
        <is>
          <t>Askåterföring</t>
        </is>
      </c>
      <c r="D80" s="1" t="n">
        <v>45688</v>
      </c>
      <c r="E80" s="1" t="n">
        <v>46216</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46216</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37064-2021</t>
        </is>
      </c>
      <c r="B82" t="inlineStr">
        <is>
          <t>avverkningsanmälan</t>
        </is>
      </c>
      <c r="C82" t="inlineStr">
        <is>
          <t>Föryngringsavverkning</t>
        </is>
      </c>
      <c r="D82" s="1" t="n">
        <v>44394</v>
      </c>
      <c r="E82" s="1" t="n">
        <v>46216</v>
      </c>
      <c r="F82" t="inlineStr">
        <is>
          <t>KALMAR LÄN</t>
        </is>
      </c>
      <c r="G82" t="inlineStr">
        <is>
          <t>MÖNSTERÅS</t>
        </is>
      </c>
      <c r="I82" t="n">
        <v>9.199999999999999</v>
      </c>
      <c r="J82" t="n">
        <v>0</v>
      </c>
      <c r="K82" t="n">
        <v>1</v>
      </c>
      <c r="L82" t="n">
        <v>0</v>
      </c>
      <c r="M82" t="n">
        <v>0</v>
      </c>
      <c r="N82" t="n">
        <v>0</v>
      </c>
      <c r="O82" t="n">
        <v>0</v>
      </c>
      <c r="P82" t="n">
        <v>0</v>
      </c>
      <c r="Q82" t="n">
        <v>0</v>
      </c>
      <c r="R82" t="n">
        <v>0</v>
      </c>
      <c r="S82" t="n">
        <v>1</v>
      </c>
      <c r="T82" t="n">
        <v>1</v>
      </c>
      <c r="U82" s="2" t="inlineStr">
        <is>
          <t>Blodvaxing</t>
        </is>
      </c>
      <c r="V82">
        <f>HYPERLINK("https://klasma.github.io/Logging_0861/artfynd/A 37064-2021 artfynd.xlsx", "A 37064-2021")</f>
        <v/>
      </c>
      <c r="W82">
        <f>HYPERLINK("https://klasma.github.io/Logging_0861/kartor/A 37064-2021 karta.png", "A 37064-2021")</f>
        <v/>
      </c>
      <c r="Y82">
        <f>HYPERLINK("https://klasma.github.io/Logging_0861/klagomål/A 37064-2021 FSC-klagomål.docx", "A 37064-2021")</f>
        <v/>
      </c>
      <c r="Z82">
        <f>HYPERLINK("https://klasma.github.io/Logging_0861/klagomålsmail/A 37064-2021 FSC-klagomål mail.docx", "A 37064-2021")</f>
        <v/>
      </c>
      <c r="AA82">
        <f>HYPERLINK("https://klasma.github.io/Logging_0861/tillsyn/A 37064-2021 tillsynsbegäran.docx", "A 37064-2021")</f>
        <v/>
      </c>
      <c r="AB82">
        <f>HYPERLINK("https://klasma.github.io/Logging_0861/tillsynsmail/A 37064-2021 tillsynsbegäran mail.docx", "A 37064-2021")</f>
        <v/>
      </c>
    </row>
    <row r="83" ht="15" customHeight="1">
      <c r="A83" t="inlineStr">
        <is>
          <t>A 11702-2022</t>
        </is>
      </c>
      <c r="B83" t="inlineStr">
        <is>
          <t>avverkningsanmälan</t>
        </is>
      </c>
      <c r="C83" t="inlineStr">
        <is>
          <t>Föryngringsavverkning</t>
        </is>
      </c>
      <c r="D83" s="1" t="n">
        <v>44634</v>
      </c>
      <c r="E83" s="1" t="n">
        <v>46216</v>
      </c>
      <c r="F83" t="inlineStr">
        <is>
          <t>KALMAR LÄN</t>
        </is>
      </c>
      <c r="G83" t="inlineStr">
        <is>
          <t>MÖNSTERÅS</t>
        </is>
      </c>
      <c r="I83" t="n">
        <v>3.1</v>
      </c>
      <c r="J83" t="n">
        <v>1</v>
      </c>
      <c r="K83" t="n">
        <v>0</v>
      </c>
      <c r="L83" t="n">
        <v>0</v>
      </c>
      <c r="M83" t="n">
        <v>0</v>
      </c>
      <c r="N83" t="n">
        <v>0</v>
      </c>
      <c r="O83" t="n">
        <v>0</v>
      </c>
      <c r="P83" t="n">
        <v>0</v>
      </c>
      <c r="Q83" t="n">
        <v>0</v>
      </c>
      <c r="R83" t="n">
        <v>0</v>
      </c>
      <c r="S83" t="n">
        <v>1</v>
      </c>
      <c r="T83" t="n">
        <v>1</v>
      </c>
      <c r="U83" s="2" t="inlineStr">
        <is>
          <t>Röd glada</t>
        </is>
      </c>
      <c r="V83">
        <f>HYPERLINK("https://klasma.github.io/Logging_0861/artfynd/A 11702-2022 artfynd.xlsx", "A 11702-2022")</f>
        <v/>
      </c>
      <c r="W83">
        <f>HYPERLINK("https://klasma.github.io/Logging_0861/kartor/A 11702-2022 karta.png", "A 11702-2022")</f>
        <v/>
      </c>
      <c r="Y83">
        <f>HYPERLINK("https://klasma.github.io/Logging_0861/klagomål/A 11702-2022 FSC-klagomål.docx", "A 11702-2022")</f>
        <v/>
      </c>
      <c r="Z83">
        <f>HYPERLINK("https://klasma.github.io/Logging_0861/klagomålsmail/A 11702-2022 FSC-klagomål mail.docx", "A 11702-2022")</f>
        <v/>
      </c>
      <c r="AA83">
        <f>HYPERLINK("https://klasma.github.io/Logging_0861/tillsyn/A 11702-2022 tillsynsbegäran.docx", "A 11702-2022")</f>
        <v/>
      </c>
      <c r="AB83">
        <f>HYPERLINK("https://klasma.github.io/Logging_0861/tillsynsmail/A 11702-2022 tillsynsbegäran mail.docx", "A 11702-2022")</f>
        <v/>
      </c>
      <c r="AC83">
        <f>HYPERLINK("https://klasma.github.io/Logging_0861/fåglar/A 11702-2022 prioriterade fågelarter.docx", "A 11702-2022")</f>
        <v/>
      </c>
    </row>
    <row r="84" ht="15" customHeight="1">
      <c r="A84" t="inlineStr">
        <is>
          <t>A 47672-2022</t>
        </is>
      </c>
      <c r="B84" t="inlineStr">
        <is>
          <t>avverkningsanmälan</t>
        </is>
      </c>
      <c r="C84" t="inlineStr">
        <is>
          <t>Föryngringsavverkning</t>
        </is>
      </c>
      <c r="D84" s="1" t="n">
        <v>44854</v>
      </c>
      <c r="E84" s="1" t="n">
        <v>46216</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s="2" t="inlineStr">
        <is>
          <t>Knärot</t>
        </is>
      </c>
      <c r="V84">
        <f>HYPERLINK("https://klasma.github.io/Logging_0861/artfynd/A 47672-2022 artfynd.xlsx", "A 47672-2022")</f>
        <v/>
      </c>
      <c r="W84">
        <f>HYPERLINK("https://klasma.github.io/Logging_0861/kartor/A 47672-2022 karta.png", "A 47672-2022")</f>
        <v/>
      </c>
      <c r="X84">
        <f>HYPERLINK("https://klasma.github.io/Logging_0861/knärot/A 47672-2022 karta knärot.png", "A 47672-2022")</f>
        <v/>
      </c>
      <c r="Y84">
        <f>HYPERLINK("https://klasma.github.io/Logging_0861/klagomål/A 47672-2022 FSC-klagomål.docx", "A 47672-2022")</f>
        <v/>
      </c>
      <c r="Z84">
        <f>HYPERLINK("https://klasma.github.io/Logging_0861/klagomålsmail/A 47672-2022 FSC-klagomål mail.docx", "A 47672-2022")</f>
        <v/>
      </c>
      <c r="AA84">
        <f>HYPERLINK("https://klasma.github.io/Logging_0861/tillsyn/A 47672-2022 tillsynsbegäran.docx", "A 47672-2022")</f>
        <v/>
      </c>
      <c r="AB84">
        <f>HYPERLINK("https://klasma.github.io/Logging_0861/tillsynsmail/A 47672-2022 tillsynsbegäran mail.docx", "A 47672-2022")</f>
        <v/>
      </c>
    </row>
    <row r="85" ht="15" customHeight="1">
      <c r="A85" t="inlineStr">
        <is>
          <t>A 41879-2022</t>
        </is>
      </c>
      <c r="B85" t="inlineStr">
        <is>
          <t>avverkningsanmälan</t>
        </is>
      </c>
      <c r="C85" t="inlineStr">
        <is>
          <t>Föryngringsavverkning</t>
        </is>
      </c>
      <c r="D85" s="1" t="n">
        <v>44827</v>
      </c>
      <c r="E85" s="1" t="n">
        <v>46216</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s="2" t="inlineStr">
        <is>
          <t>Brunag</t>
        </is>
      </c>
      <c r="V85">
        <f>HYPERLINK("https://klasma.github.io/Logging_0861/artfynd/A 41879-2022 artfynd.xlsx", "A 41879-2022")</f>
        <v/>
      </c>
      <c r="W85">
        <f>HYPERLINK("https://klasma.github.io/Logging_0861/kartor/A 41879-2022 karta.png", "A 41879-2022")</f>
        <v/>
      </c>
      <c r="Y85">
        <f>HYPERLINK("https://klasma.github.io/Logging_0861/klagomål/A 41879-2022 FSC-klagomål.docx", "A 41879-2022")</f>
        <v/>
      </c>
      <c r="Z85">
        <f>HYPERLINK("https://klasma.github.io/Logging_0861/klagomålsmail/A 41879-2022 FSC-klagomål mail.docx", "A 41879-2022")</f>
        <v/>
      </c>
      <c r="AA85">
        <f>HYPERLINK("https://klasma.github.io/Logging_0861/tillsyn/A 41879-2022 tillsynsbegäran.docx", "A 41879-2022")</f>
        <v/>
      </c>
      <c r="AB85">
        <f>HYPERLINK("https://klasma.github.io/Logging_0861/tillsynsmail/A 41879-2022 tillsynsbegäran mail.docx", "A 41879-2022")</f>
        <v/>
      </c>
    </row>
    <row r="86" ht="15" customHeight="1">
      <c r="A86" t="inlineStr">
        <is>
          <t>A 54924-2022</t>
        </is>
      </c>
      <c r="B86" t="inlineStr">
        <is>
          <t>avverkningsanmälan</t>
        </is>
      </c>
      <c r="C86" t="inlineStr">
        <is>
          <t>Föryngringsavverkning</t>
        </is>
      </c>
      <c r="D86" s="1" t="n">
        <v>44886</v>
      </c>
      <c r="E86" s="1" t="n">
        <v>46216</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s="2" t="inlineStr">
        <is>
          <t>Knärot</t>
        </is>
      </c>
      <c r="V86">
        <f>HYPERLINK("https://klasma.github.io/Logging_0861/artfynd/A 54924-2022 artfynd.xlsx", "A 54924-2022")</f>
        <v/>
      </c>
      <c r="W86">
        <f>HYPERLINK("https://klasma.github.io/Logging_0861/kartor/A 54924-2022 karta.png", "A 54924-2022")</f>
        <v/>
      </c>
      <c r="X86">
        <f>HYPERLINK("https://klasma.github.io/Logging_0861/knärot/A 54924-2022 karta knärot.png", "A 54924-2022")</f>
        <v/>
      </c>
      <c r="Y86">
        <f>HYPERLINK("https://klasma.github.io/Logging_0861/klagomål/A 54924-2022 FSC-klagomål.docx", "A 54924-2022")</f>
        <v/>
      </c>
      <c r="Z86">
        <f>HYPERLINK("https://klasma.github.io/Logging_0861/klagomålsmail/A 54924-2022 FSC-klagomål mail.docx", "A 54924-2022")</f>
        <v/>
      </c>
      <c r="AA86">
        <f>HYPERLINK("https://klasma.github.io/Logging_0861/tillsyn/A 54924-2022 tillsynsbegäran.docx", "A 54924-2022")</f>
        <v/>
      </c>
      <c r="AB86">
        <f>HYPERLINK("https://klasma.github.io/Logging_0861/tillsynsmail/A 54924-2022 tillsynsbegäran mail.docx", "A 54924-2022")</f>
        <v/>
      </c>
    </row>
    <row r="87" ht="15" customHeight="1">
      <c r="A87" t="inlineStr">
        <is>
          <t>A 53173-2022</t>
        </is>
      </c>
      <c r="B87" t="inlineStr">
        <is>
          <t>avverkningsanmälan</t>
        </is>
      </c>
      <c r="C87" t="inlineStr">
        <is>
          <t>Föryngringsavverkning</t>
        </is>
      </c>
      <c r="D87" s="1" t="n">
        <v>44876</v>
      </c>
      <c r="E87" s="1" t="n">
        <v>46216</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s="2" t="inlineStr">
        <is>
          <t>Havsörn</t>
        </is>
      </c>
      <c r="V87">
        <f>HYPERLINK("https://klasma.github.io/Logging_0861/artfynd/A 53173-2022 artfynd.xlsx", "A 53173-2022")</f>
        <v/>
      </c>
      <c r="W87">
        <f>HYPERLINK("https://klasma.github.io/Logging_0861/kartor/A 53173-2022 karta.png", "A 53173-2022")</f>
        <v/>
      </c>
      <c r="Y87">
        <f>HYPERLINK("https://klasma.github.io/Logging_0861/klagomål/A 53173-2022 FSC-klagomål.docx", "A 53173-2022")</f>
        <v/>
      </c>
      <c r="Z87">
        <f>HYPERLINK("https://klasma.github.io/Logging_0861/klagomålsmail/A 53173-2022 FSC-klagomål mail.docx", "A 53173-2022")</f>
        <v/>
      </c>
      <c r="AA87">
        <f>HYPERLINK("https://klasma.github.io/Logging_0861/tillsyn/A 53173-2022 tillsynsbegäran.docx", "A 53173-2022")</f>
        <v/>
      </c>
      <c r="AB87">
        <f>HYPERLINK("https://klasma.github.io/Logging_0861/tillsynsmail/A 53173-2022 tillsynsbegäran mail.docx", "A 53173-2022")</f>
        <v/>
      </c>
      <c r="AC87">
        <f>HYPERLINK("https://klasma.github.io/Logging_0861/fåglar/A 53173-2022 prioriterade fågelarter.docx", "A 53173-2022")</f>
        <v/>
      </c>
    </row>
    <row r="88" ht="15" customHeight="1">
      <c r="A88" t="inlineStr">
        <is>
          <t>A 25605-2024</t>
        </is>
      </c>
      <c r="B88" t="inlineStr">
        <is>
          <t>avverkningsanmälan</t>
        </is>
      </c>
      <c r="C88" t="inlineStr">
        <is>
          <t>Föryngringsavverkning</t>
        </is>
      </c>
      <c r="D88" s="1" t="n">
        <v>45463</v>
      </c>
      <c r="E88" s="1" t="n">
        <v>46216</v>
      </c>
      <c r="F88" t="inlineStr">
        <is>
          <t>KALMAR LÄN</t>
        </is>
      </c>
      <c r="G88" t="inlineStr">
        <is>
          <t>MÖNSTERÅS</t>
        </is>
      </c>
      <c r="I88" t="n">
        <v>1</v>
      </c>
      <c r="J88" t="n">
        <v>1</v>
      </c>
      <c r="K88" t="n">
        <v>0</v>
      </c>
      <c r="L88" t="n">
        <v>0</v>
      </c>
      <c r="M88" t="n">
        <v>0</v>
      </c>
      <c r="N88" t="n">
        <v>0</v>
      </c>
      <c r="O88" t="n">
        <v>0</v>
      </c>
      <c r="P88" t="n">
        <v>0</v>
      </c>
      <c r="Q88" t="n">
        <v>0</v>
      </c>
      <c r="R88" t="n">
        <v>0</v>
      </c>
      <c r="S88" t="n">
        <v>1</v>
      </c>
      <c r="T88" t="n">
        <v>1</v>
      </c>
      <c r="U88" s="2" t="inlineStr">
        <is>
          <t>Gullviva</t>
        </is>
      </c>
      <c r="V88">
        <f>HYPERLINK("https://klasma.github.io/Logging_0861/artfynd/A 25605-2024 artfynd.xlsx", "A 25605-2024")</f>
        <v/>
      </c>
      <c r="W88">
        <f>HYPERLINK("https://klasma.github.io/Logging_0861/kartor/A 25605-2024 karta.png", "A 25605-2024")</f>
        <v/>
      </c>
      <c r="Y88">
        <f>HYPERLINK("https://klasma.github.io/Logging_0861/klagomål/A 25605-2024 FSC-klagomål.docx", "A 25605-2024")</f>
        <v/>
      </c>
      <c r="Z88">
        <f>HYPERLINK("https://klasma.github.io/Logging_0861/klagomålsmail/A 25605-2024 FSC-klagomål mail.docx", "A 25605-2024")</f>
        <v/>
      </c>
      <c r="AA88">
        <f>HYPERLINK("https://klasma.github.io/Logging_0861/tillsyn/A 25605-2024 tillsynsbegäran.docx", "A 25605-2024")</f>
        <v/>
      </c>
      <c r="AB88">
        <f>HYPERLINK("https://klasma.github.io/Logging_0861/tillsynsmail/A 25605-2024 tillsynsbegäran mail.docx", "A 25605-2024")</f>
        <v/>
      </c>
    </row>
    <row r="89" ht="15" customHeight="1">
      <c r="A89" t="inlineStr">
        <is>
          <t>A 61016-2025</t>
        </is>
      </c>
      <c r="B89" t="inlineStr">
        <is>
          <t>avverkningsanmälan</t>
        </is>
      </c>
      <c r="C89" t="inlineStr">
        <is>
          <t>Föryngringsavverkning</t>
        </is>
      </c>
      <c r="D89" s="1" t="n">
        <v>45999</v>
      </c>
      <c r="E89" s="1" t="n">
        <v>46216</v>
      </c>
      <c r="F89" t="inlineStr">
        <is>
          <t>KALMAR LÄN</t>
        </is>
      </c>
      <c r="G89" t="inlineStr">
        <is>
          <t>MÖNSTERÅS</t>
        </is>
      </c>
      <c r="H89" t="inlineStr">
        <is>
          <t>Sveaskog</t>
        </is>
      </c>
      <c r="I89" t="n">
        <v>8.300000000000001</v>
      </c>
      <c r="J89" t="n">
        <v>1</v>
      </c>
      <c r="K89" t="n">
        <v>0</v>
      </c>
      <c r="L89" t="n">
        <v>0</v>
      </c>
      <c r="M89" t="n">
        <v>0</v>
      </c>
      <c r="N89" t="n">
        <v>0</v>
      </c>
      <c r="O89" t="n">
        <v>0</v>
      </c>
      <c r="P89" t="n">
        <v>0</v>
      </c>
      <c r="Q89" t="n">
        <v>0</v>
      </c>
      <c r="R89" t="n">
        <v>0</v>
      </c>
      <c r="S89" t="n">
        <v>1</v>
      </c>
      <c r="T89" t="n">
        <v>1</v>
      </c>
      <c r="U89" s="2" t="inlineStr">
        <is>
          <t>Tjäder</t>
        </is>
      </c>
      <c r="V89">
        <f>HYPERLINK("https://klasma.github.io/Logging_0861/artfynd/A 61016-2025 artfynd.xlsx", "A 61016-2025")</f>
        <v/>
      </c>
      <c r="W89">
        <f>HYPERLINK("https://klasma.github.io/Logging_0861/kartor/A 61016-2025 karta.png", "A 61016-2025")</f>
        <v/>
      </c>
      <c r="Y89">
        <f>HYPERLINK("https://klasma.github.io/Logging_0861/klagomål/A 61016-2025 FSC-klagomål.docx", "A 61016-2025")</f>
        <v/>
      </c>
      <c r="Z89">
        <f>HYPERLINK("https://klasma.github.io/Logging_0861/klagomålsmail/A 61016-2025 FSC-klagomål mail.docx", "A 61016-2025")</f>
        <v/>
      </c>
      <c r="AA89">
        <f>HYPERLINK("https://klasma.github.io/Logging_0861/tillsyn/A 61016-2025 tillsynsbegäran.docx", "A 61016-2025")</f>
        <v/>
      </c>
      <c r="AB89">
        <f>HYPERLINK("https://klasma.github.io/Logging_0861/tillsynsmail/A 61016-2025 tillsynsbegäran mail.docx", "A 61016-2025")</f>
        <v/>
      </c>
      <c r="AC89">
        <f>HYPERLINK("https://klasma.github.io/Logging_0861/fåglar/A 61016-2025 prioriterade fågelarter.docx", "A 61016-2025")</f>
        <v/>
      </c>
    </row>
    <row r="90" ht="15" customHeight="1">
      <c r="A90" t="inlineStr">
        <is>
          <t>A 10155-2026</t>
        </is>
      </c>
      <c r="B90" t="inlineStr">
        <is>
          <t>avverkningsanmälan</t>
        </is>
      </c>
      <c r="C90" t="inlineStr">
        <is>
          <t>Föryngringsavverkning</t>
        </is>
      </c>
      <c r="D90" s="1" t="n">
        <v>46076</v>
      </c>
      <c r="E90" s="1" t="n">
        <v>46216</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s="2" t="inlineStr">
        <is>
          <t>Åkerkulla</t>
        </is>
      </c>
      <c r="V90">
        <f>HYPERLINK("https://klasma.github.io/Logging_0861/artfynd/A 10155-2026 artfynd.xlsx", "A 10155-2026")</f>
        <v/>
      </c>
      <c r="W90">
        <f>HYPERLINK("https://klasma.github.io/Logging_0861/kartor/A 10155-2026 karta.png", "A 10155-2026")</f>
        <v/>
      </c>
      <c r="Y90">
        <f>HYPERLINK("https://klasma.github.io/Logging_0861/klagomål/A 10155-2026 FSC-klagomål.docx", "A 10155-2026")</f>
        <v/>
      </c>
      <c r="Z90">
        <f>HYPERLINK("https://klasma.github.io/Logging_0861/klagomålsmail/A 10155-2026 FSC-klagomål mail.docx", "A 10155-2026")</f>
        <v/>
      </c>
      <c r="AA90">
        <f>HYPERLINK("https://klasma.github.io/Logging_0861/tillsyn/A 10155-2026 tillsynsbegäran.docx", "A 10155-2026")</f>
        <v/>
      </c>
      <c r="AB90">
        <f>HYPERLINK("https://klasma.github.io/Logging_0861/tillsynsmail/A 10155-2026 tillsynsbegäran mail.docx", "A 10155-2026")</f>
        <v/>
      </c>
    </row>
    <row r="91" ht="15" customHeight="1">
      <c r="A91" t="inlineStr">
        <is>
          <t>A 45689-2021</t>
        </is>
      </c>
      <c r="B91" t="inlineStr">
        <is>
          <t>avverkningsanmälan</t>
        </is>
      </c>
      <c r="C91" t="inlineStr">
        <is>
          <t>Föryngringsavverkning</t>
        </is>
      </c>
      <c r="D91" s="1" t="n">
        <v>44441</v>
      </c>
      <c r="E91" s="1" t="n">
        <v>46216</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s="2" t="inlineStr">
        <is>
          <t>Gulfläckig praktbagge</t>
        </is>
      </c>
      <c r="V91">
        <f>HYPERLINK("https://klasma.github.io/Logging_0861/artfynd/A 45689-2021 artfynd.xlsx", "A 45689-2021")</f>
        <v/>
      </c>
      <c r="W91">
        <f>HYPERLINK("https://klasma.github.io/Logging_0861/kartor/A 45689-2021 karta.png", "A 45689-2021")</f>
        <v/>
      </c>
      <c r="Y91">
        <f>HYPERLINK("https://klasma.github.io/Logging_0861/klagomål/A 45689-2021 FSC-klagomål.docx", "A 45689-2021")</f>
        <v/>
      </c>
      <c r="Z91">
        <f>HYPERLINK("https://klasma.github.io/Logging_0861/klagomålsmail/A 45689-2021 FSC-klagomål mail.docx", "A 45689-2021")</f>
        <v/>
      </c>
      <c r="AA91">
        <f>HYPERLINK("https://klasma.github.io/Logging_0861/tillsyn/A 45689-2021 tillsynsbegäran.docx", "A 45689-2021")</f>
        <v/>
      </c>
      <c r="AB91">
        <f>HYPERLINK("https://klasma.github.io/Logging_0861/tillsynsmail/A 45689-2021 tillsynsbegäran mail.docx", "A 45689-2021")</f>
        <v/>
      </c>
    </row>
    <row r="92" ht="15" customHeight="1">
      <c r="A92" t="inlineStr">
        <is>
          <t>A 25165-2023</t>
        </is>
      </c>
      <c r="B92" t="inlineStr">
        <is>
          <t>avverkningsanmälan</t>
        </is>
      </c>
      <c r="C92" t="inlineStr">
        <is>
          <t>Föryngringsavverkning</t>
        </is>
      </c>
      <c r="D92" s="1" t="n">
        <v>45086</v>
      </c>
      <c r="E92" s="1" t="n">
        <v>46216</v>
      </c>
      <c r="F92" t="inlineStr">
        <is>
          <t>KALMAR LÄN</t>
        </is>
      </c>
      <c r="G92" t="inlineStr">
        <is>
          <t>MÖNSTERÅS</t>
        </is>
      </c>
      <c r="I92" t="n">
        <v>2.8</v>
      </c>
      <c r="J92" t="n">
        <v>1</v>
      </c>
      <c r="K92" t="n">
        <v>0</v>
      </c>
      <c r="L92" t="n">
        <v>0</v>
      </c>
      <c r="M92" t="n">
        <v>0</v>
      </c>
      <c r="N92" t="n">
        <v>0</v>
      </c>
      <c r="O92" t="n">
        <v>0</v>
      </c>
      <c r="P92" t="n">
        <v>0</v>
      </c>
      <c r="Q92" t="n">
        <v>0</v>
      </c>
      <c r="R92" t="n">
        <v>0</v>
      </c>
      <c r="S92" t="n">
        <v>1</v>
      </c>
      <c r="T92" t="n">
        <v>1</v>
      </c>
      <c r="U92" s="2" t="inlineStr">
        <is>
          <t>Blåsippa</t>
        </is>
      </c>
      <c r="V92">
        <f>HYPERLINK("https://klasma.github.io/Logging_0861/artfynd/A 25165-2023 artfynd.xlsx", "A 25165-2023")</f>
        <v/>
      </c>
      <c r="W92">
        <f>HYPERLINK("https://klasma.github.io/Logging_0861/kartor/A 25165-2023 karta.png", "A 25165-2023")</f>
        <v/>
      </c>
      <c r="Y92">
        <f>HYPERLINK("https://klasma.github.io/Logging_0861/klagomål/A 25165-2023 FSC-klagomål.docx", "A 25165-2023")</f>
        <v/>
      </c>
      <c r="Z92">
        <f>HYPERLINK("https://klasma.github.io/Logging_0861/klagomålsmail/A 25165-2023 FSC-klagomål mail.docx", "A 25165-2023")</f>
        <v/>
      </c>
      <c r="AA92">
        <f>HYPERLINK("https://klasma.github.io/Logging_0861/tillsyn/A 25165-2023 tillsynsbegäran.docx", "A 25165-2023")</f>
        <v/>
      </c>
      <c r="AB92">
        <f>HYPERLINK("https://klasma.github.io/Logging_0861/tillsynsmail/A 25165-2023 tillsynsbegäran mail.docx", "A 25165-2023")</f>
        <v/>
      </c>
    </row>
    <row r="93" ht="15" customHeight="1">
      <c r="A93" t="inlineStr">
        <is>
          <t>A 63816-2023</t>
        </is>
      </c>
      <c r="B93" t="inlineStr">
        <is>
          <t>avverkningsanmälan</t>
        </is>
      </c>
      <c r="C93" t="inlineStr">
        <is>
          <t>Föryngringsavverkning</t>
        </is>
      </c>
      <c r="D93" s="1" t="n">
        <v>45278</v>
      </c>
      <c r="E93" s="1" t="n">
        <v>46216</v>
      </c>
      <c r="F93" t="inlineStr">
        <is>
          <t>KALMAR LÄN</t>
        </is>
      </c>
      <c r="G93" t="inlineStr">
        <is>
          <t>MÖNSTERÅS</t>
        </is>
      </c>
      <c r="I93" t="n">
        <v>2.8</v>
      </c>
      <c r="J93" t="n">
        <v>0</v>
      </c>
      <c r="K93" t="n">
        <v>0</v>
      </c>
      <c r="L93" t="n">
        <v>0</v>
      </c>
      <c r="M93" t="n">
        <v>1</v>
      </c>
      <c r="N93" t="n">
        <v>0</v>
      </c>
      <c r="O93" t="n">
        <v>0</v>
      </c>
      <c r="P93" t="n">
        <v>0</v>
      </c>
      <c r="Q93" t="n">
        <v>1</v>
      </c>
      <c r="R93" t="n">
        <v>1</v>
      </c>
      <c r="S93" t="n">
        <v>1</v>
      </c>
      <c r="T93" t="n">
        <v>1</v>
      </c>
      <c r="U93" s="2" t="inlineStr">
        <is>
          <t>Igelkott</t>
        </is>
      </c>
      <c r="V93">
        <f>HYPERLINK("https://klasma.github.io/Logging_0861/artfynd/A 63816-2023 artfynd.xlsx", "A 63816-2023")</f>
        <v/>
      </c>
      <c r="W93">
        <f>HYPERLINK("https://klasma.github.io/Logging_0861/kartor/A 63816-2023 karta.png", "A 63816-2023")</f>
        <v/>
      </c>
      <c r="Y93">
        <f>HYPERLINK("https://klasma.github.io/Logging_0861/klagomål/A 63816-2023 FSC-klagomål.docx", "A 63816-2023")</f>
        <v/>
      </c>
      <c r="Z93">
        <f>HYPERLINK("https://klasma.github.io/Logging_0861/klagomålsmail/A 63816-2023 FSC-klagomål mail.docx", "A 63816-2023")</f>
        <v/>
      </c>
      <c r="AA93">
        <f>HYPERLINK("https://klasma.github.io/Logging_0861/tillsyn/A 63816-2023 tillsynsbegäran.docx", "A 63816-2023")</f>
        <v/>
      </c>
      <c r="AB93">
        <f>HYPERLINK("https://klasma.github.io/Logging_0861/tillsynsmail/A 63816-2023 tillsynsbegäran mail.docx", "A 63816-2023")</f>
        <v/>
      </c>
    </row>
    <row r="94" ht="15" customHeight="1">
      <c r="A94" t="inlineStr">
        <is>
          <t>A 36886-2024</t>
        </is>
      </c>
      <c r="B94" t="inlineStr">
        <is>
          <t>avverkningsanmälan</t>
        </is>
      </c>
      <c r="C94" t="inlineStr">
        <is>
          <t>Föryngringsavverkning</t>
        </is>
      </c>
      <c r="D94" s="1" t="n">
        <v>45538</v>
      </c>
      <c r="E94" s="1" t="n">
        <v>46216</v>
      </c>
      <c r="F94" t="inlineStr">
        <is>
          <t>KALMAR LÄN</t>
        </is>
      </c>
      <c r="G94" t="inlineStr">
        <is>
          <t>MÖNSTERÅS</t>
        </is>
      </c>
      <c r="I94" t="n">
        <v>10.2</v>
      </c>
      <c r="J94" t="n">
        <v>0</v>
      </c>
      <c r="K94" t="n">
        <v>1</v>
      </c>
      <c r="L94" t="n">
        <v>0</v>
      </c>
      <c r="M94" t="n">
        <v>0</v>
      </c>
      <c r="N94" t="n">
        <v>0</v>
      </c>
      <c r="O94" t="n">
        <v>0</v>
      </c>
      <c r="P94" t="n">
        <v>0</v>
      </c>
      <c r="Q94" t="n">
        <v>0</v>
      </c>
      <c r="R94" t="n">
        <v>0</v>
      </c>
      <c r="S94" t="n">
        <v>1</v>
      </c>
      <c r="T94" t="n">
        <v>1</v>
      </c>
      <c r="U94" s="2" t="inlineStr">
        <is>
          <t>Underviol</t>
        </is>
      </c>
      <c r="V94">
        <f>HYPERLINK("https://klasma.github.io/Logging_0861/artfynd/A 36886-2024 artfynd.xlsx", "A 36886-2024")</f>
        <v/>
      </c>
      <c r="W94">
        <f>HYPERLINK("https://klasma.github.io/Logging_0861/kartor/A 36886-2024 karta.png", "A 36886-2024")</f>
        <v/>
      </c>
      <c r="Y94">
        <f>HYPERLINK("https://klasma.github.io/Logging_0861/klagomål/A 36886-2024 FSC-klagomål.docx", "A 36886-2024")</f>
        <v/>
      </c>
      <c r="Z94">
        <f>HYPERLINK("https://klasma.github.io/Logging_0861/klagomålsmail/A 36886-2024 FSC-klagomål mail.docx", "A 36886-2024")</f>
        <v/>
      </c>
      <c r="AA94">
        <f>HYPERLINK("https://klasma.github.io/Logging_0861/tillsyn/A 36886-2024 tillsynsbegäran.docx", "A 36886-2024")</f>
        <v/>
      </c>
      <c r="AB94">
        <f>HYPERLINK("https://klasma.github.io/Logging_0861/tillsynsmail/A 36886-2024 tillsynsbegäran mail.docx", "A 36886-2024")</f>
        <v/>
      </c>
    </row>
    <row r="95" ht="15" customHeight="1">
      <c r="A95" t="inlineStr">
        <is>
          <t>A 25201-2023</t>
        </is>
      </c>
      <c r="B95" t="inlineStr">
        <is>
          <t>avverkningsanmälan</t>
        </is>
      </c>
      <c r="C95" t="inlineStr">
        <is>
          <t>Föryngringsavverkning</t>
        </is>
      </c>
      <c r="D95" s="1" t="n">
        <v>45086</v>
      </c>
      <c r="E95" s="1" t="n">
        <v>46216</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s="2" t="inlineStr">
        <is>
          <t>Dvärgpipistrell</t>
        </is>
      </c>
      <c r="V95">
        <f>HYPERLINK("https://klasma.github.io/Logging_0861/artfynd/A 25201-2023 artfynd.xlsx", "A 25201-2023")</f>
        <v/>
      </c>
      <c r="W95">
        <f>HYPERLINK("https://klasma.github.io/Logging_0861/kartor/A 25201-2023 karta.png", "A 25201-2023")</f>
        <v/>
      </c>
      <c r="Y95">
        <f>HYPERLINK("https://klasma.github.io/Logging_0861/klagomål/A 25201-2023 FSC-klagomål.docx", "A 25201-2023")</f>
        <v/>
      </c>
      <c r="Z95">
        <f>HYPERLINK("https://klasma.github.io/Logging_0861/klagomålsmail/A 25201-2023 FSC-klagomål mail.docx", "A 25201-2023")</f>
        <v/>
      </c>
      <c r="AA95">
        <f>HYPERLINK("https://klasma.github.io/Logging_0861/tillsyn/A 25201-2023 tillsynsbegäran.docx", "A 25201-2023")</f>
        <v/>
      </c>
      <c r="AB95">
        <f>HYPERLINK("https://klasma.github.io/Logging_0861/tillsynsmail/A 25201-2023 tillsynsbegäran mail.docx", "A 25201-2023")</f>
        <v/>
      </c>
    </row>
    <row r="96" ht="15" customHeight="1">
      <c r="A96" t="inlineStr">
        <is>
          <t>A 41198-2023</t>
        </is>
      </c>
      <c r="B96" t="inlineStr">
        <is>
          <t>avverkningsanmälan</t>
        </is>
      </c>
      <c r="C96" t="inlineStr">
        <is>
          <t>Föryngringsavverkning</t>
        </is>
      </c>
      <c r="D96" s="1" t="n">
        <v>45174</v>
      </c>
      <c r="E96" s="1" t="n">
        <v>46216</v>
      </c>
      <c r="F96" t="inlineStr">
        <is>
          <t>KALMAR LÄN</t>
        </is>
      </c>
      <c r="G96" t="inlineStr">
        <is>
          <t>MÖNSTERÅS</t>
        </is>
      </c>
      <c r="I96" t="n">
        <v>3.5</v>
      </c>
      <c r="J96" t="n">
        <v>1</v>
      </c>
      <c r="K96" t="n">
        <v>0</v>
      </c>
      <c r="L96" t="n">
        <v>0</v>
      </c>
      <c r="M96" t="n">
        <v>0</v>
      </c>
      <c r="N96" t="n">
        <v>0</v>
      </c>
      <c r="O96" t="n">
        <v>0</v>
      </c>
      <c r="P96" t="n">
        <v>0</v>
      </c>
      <c r="Q96" t="n">
        <v>0</v>
      </c>
      <c r="R96" t="n">
        <v>0</v>
      </c>
      <c r="S96" t="n">
        <v>1</v>
      </c>
      <c r="T96" t="n">
        <v>2</v>
      </c>
      <c r="U96" s="2" t="inlineStr">
        <is>
          <t>Revlummer</t>
        </is>
      </c>
      <c r="V96">
        <f>HYPERLINK("https://klasma.github.io/Logging_0861/artfynd/A 41198-2023 artfynd.xlsx", "A 41198-2023")</f>
        <v/>
      </c>
      <c r="W96">
        <f>HYPERLINK("https://klasma.github.io/Logging_0861/kartor/A 41198-2023 karta.png", "A 41198-2023")</f>
        <v/>
      </c>
      <c r="Y96">
        <f>HYPERLINK("https://klasma.github.io/Logging_0861/klagomål/A 41198-2023 FSC-klagomål.docx", "A 41198-2023")</f>
        <v/>
      </c>
      <c r="Z96">
        <f>HYPERLINK("https://klasma.github.io/Logging_0861/klagomålsmail/A 41198-2023 FSC-klagomål mail.docx", "A 41198-2023")</f>
        <v/>
      </c>
      <c r="AA96">
        <f>HYPERLINK("https://klasma.github.io/Logging_0861/tillsyn/A 41198-2023 tillsynsbegäran.docx", "A 41198-2023")</f>
        <v/>
      </c>
      <c r="AB96">
        <f>HYPERLINK("https://klasma.github.io/Logging_0861/tillsynsmail/A 41198-2023 tillsynsbegäran mail.docx", "A 41198-2023")</f>
        <v/>
      </c>
    </row>
    <row r="97" ht="15" customHeight="1">
      <c r="A97" t="inlineStr">
        <is>
          <t>A 41665-2022</t>
        </is>
      </c>
      <c r="B97" t="inlineStr">
        <is>
          <t>avverkningsanmälan</t>
        </is>
      </c>
      <c r="C97" t="inlineStr">
        <is>
          <t>Avverkning för att bevara och utveckla /försöksver</t>
        </is>
      </c>
      <c r="D97" s="1" t="n">
        <v>44827</v>
      </c>
      <c r="E97" s="1" t="n">
        <v>46216</v>
      </c>
      <c r="F97" t="inlineStr">
        <is>
          <t>KALMAR LÄN</t>
        </is>
      </c>
      <c r="G97" t="inlineStr">
        <is>
          <t>MÖNSTERÅS</t>
        </is>
      </c>
      <c r="I97" t="n">
        <v>1.7</v>
      </c>
      <c r="J97" t="n">
        <v>0</v>
      </c>
      <c r="K97" t="n">
        <v>1</v>
      </c>
      <c r="L97" t="n">
        <v>0</v>
      </c>
      <c r="M97" t="n">
        <v>0</v>
      </c>
      <c r="N97" t="n">
        <v>0</v>
      </c>
      <c r="O97" t="n">
        <v>0</v>
      </c>
      <c r="P97" t="n">
        <v>0</v>
      </c>
      <c r="Q97" t="n">
        <v>0</v>
      </c>
      <c r="R97" t="n">
        <v>0</v>
      </c>
      <c r="S97" t="n">
        <v>1</v>
      </c>
      <c r="T97" t="n">
        <v>1</v>
      </c>
      <c r="U97" s="2" t="inlineStr">
        <is>
          <t>Trubbfjädermossa</t>
        </is>
      </c>
      <c r="V97">
        <f>HYPERLINK("https://klasma.github.io/Logging_0861/artfynd/A 41665-2022 artfynd.xlsx", "A 41665-2022")</f>
        <v/>
      </c>
      <c r="W97">
        <f>HYPERLINK("https://klasma.github.io/Logging_0861/kartor/A 41665-2022 karta.png", "A 41665-2022")</f>
        <v/>
      </c>
      <c r="Y97">
        <f>HYPERLINK("https://klasma.github.io/Logging_0861/klagomål/A 41665-2022 FSC-klagomål.docx", "A 41665-2022")</f>
        <v/>
      </c>
      <c r="Z97">
        <f>HYPERLINK("https://klasma.github.io/Logging_0861/klagomålsmail/A 41665-2022 FSC-klagomål mail.docx", "A 41665-2022")</f>
        <v/>
      </c>
      <c r="AA97">
        <f>HYPERLINK("https://klasma.github.io/Logging_0861/tillsyn/A 41665-2022 tillsynsbegäran.docx", "A 41665-2022")</f>
        <v/>
      </c>
      <c r="AB97">
        <f>HYPERLINK("https://klasma.github.io/Logging_0861/tillsynsmail/A 41665-2022 tillsynsbegäran mail.docx", "A 41665-2022")</f>
        <v/>
      </c>
    </row>
    <row r="98" ht="15" customHeight="1">
      <c r="A98" t="inlineStr">
        <is>
          <t>A 26274-2023</t>
        </is>
      </c>
      <c r="B98" t="inlineStr">
        <is>
          <t>avverkningsanmälan</t>
        </is>
      </c>
      <c r="C98" t="inlineStr">
        <is>
          <t>Föryngringsavverkning</t>
        </is>
      </c>
      <c r="D98" s="1" t="n">
        <v>45091</v>
      </c>
      <c r="E98" s="1" t="n">
        <v>46216</v>
      </c>
      <c r="F98" t="inlineStr">
        <is>
          <t>KALMAR LÄN</t>
        </is>
      </c>
      <c r="G98" t="inlineStr">
        <is>
          <t>MÖNSTERÅS</t>
        </is>
      </c>
      <c r="I98" t="n">
        <v>2.1</v>
      </c>
      <c r="J98" t="n">
        <v>1</v>
      </c>
      <c r="K98" t="n">
        <v>0</v>
      </c>
      <c r="L98" t="n">
        <v>0</v>
      </c>
      <c r="M98" t="n">
        <v>0</v>
      </c>
      <c r="N98" t="n">
        <v>0</v>
      </c>
      <c r="O98" t="n">
        <v>0</v>
      </c>
      <c r="P98" t="n">
        <v>0</v>
      </c>
      <c r="Q98" t="n">
        <v>0</v>
      </c>
      <c r="R98" t="n">
        <v>0</v>
      </c>
      <c r="S98" t="n">
        <v>1</v>
      </c>
      <c r="T98" t="n">
        <v>1</v>
      </c>
      <c r="U98" s="2" t="inlineStr">
        <is>
          <t>Havsörn</t>
        </is>
      </c>
      <c r="V98">
        <f>HYPERLINK("https://klasma.github.io/Logging_0861/artfynd/A 26274-2023 artfynd.xlsx", "A 26274-2023")</f>
        <v/>
      </c>
      <c r="W98">
        <f>HYPERLINK("https://klasma.github.io/Logging_0861/kartor/A 26274-2023 karta.png", "A 26274-2023")</f>
        <v/>
      </c>
      <c r="Y98">
        <f>HYPERLINK("https://klasma.github.io/Logging_0861/klagomål/A 26274-2023 FSC-klagomål.docx", "A 26274-2023")</f>
        <v/>
      </c>
      <c r="Z98">
        <f>HYPERLINK("https://klasma.github.io/Logging_0861/klagomålsmail/A 26274-2023 FSC-klagomål mail.docx", "A 26274-2023")</f>
        <v/>
      </c>
      <c r="AA98">
        <f>HYPERLINK("https://klasma.github.io/Logging_0861/tillsyn/A 26274-2023 tillsynsbegäran.docx", "A 26274-2023")</f>
        <v/>
      </c>
      <c r="AB98">
        <f>HYPERLINK("https://klasma.github.io/Logging_0861/tillsynsmail/A 26274-2023 tillsynsbegäran mail.docx", "A 26274-2023")</f>
        <v/>
      </c>
      <c r="AC98">
        <f>HYPERLINK("https://klasma.github.io/Logging_0861/fåglar/A 26274-2023 prioriterade fågelarter.docx", "A 26274-2023")</f>
        <v/>
      </c>
    </row>
    <row r="99" ht="15" customHeight="1">
      <c r="A99" t="inlineStr">
        <is>
          <t>A 20201-2024</t>
        </is>
      </c>
      <c r="B99" t="inlineStr">
        <is>
          <t>avverkningsanmälan</t>
        </is>
      </c>
      <c r="C99" t="inlineStr">
        <is>
          <t>Föryngringsavverkning</t>
        </is>
      </c>
      <c r="D99" s="1" t="n">
        <v>45434</v>
      </c>
      <c r="E99" s="1" t="n">
        <v>46216</v>
      </c>
      <c r="F99" t="inlineStr">
        <is>
          <t>KALMAR LÄN</t>
        </is>
      </c>
      <c r="G99" t="inlineStr">
        <is>
          <t>MÖNSTERÅS</t>
        </is>
      </c>
      <c r="H99" t="inlineStr">
        <is>
          <t>Kommuner</t>
        </is>
      </c>
      <c r="I99" t="n">
        <v>2.2</v>
      </c>
      <c r="J99" t="n">
        <v>1</v>
      </c>
      <c r="K99" t="n">
        <v>0</v>
      </c>
      <c r="L99" t="n">
        <v>0</v>
      </c>
      <c r="M99" t="n">
        <v>1</v>
      </c>
      <c r="N99" t="n">
        <v>0</v>
      </c>
      <c r="O99" t="n">
        <v>0</v>
      </c>
      <c r="P99" t="n">
        <v>0</v>
      </c>
      <c r="Q99" t="n">
        <v>1</v>
      </c>
      <c r="R99" t="n">
        <v>1</v>
      </c>
      <c r="S99" t="n">
        <v>1</v>
      </c>
      <c r="T99" t="n">
        <v>1</v>
      </c>
      <c r="U99" s="2" t="inlineStr">
        <is>
          <t>Knärot</t>
        </is>
      </c>
      <c r="V99">
        <f>HYPERLINK("https://klasma.github.io/Logging_0861/artfynd/A 20201-2024 artfynd.xlsx", "A 20201-2024")</f>
        <v/>
      </c>
      <c r="W99">
        <f>HYPERLINK("https://klasma.github.io/Logging_0861/kartor/A 20201-2024 karta.png", "A 20201-2024")</f>
        <v/>
      </c>
      <c r="X99">
        <f>HYPERLINK("https://klasma.github.io/Logging_0861/knärot/A 20201-2024 karta knärot.png", "A 20201-2024")</f>
        <v/>
      </c>
      <c r="Y99">
        <f>HYPERLINK("https://klasma.github.io/Logging_0861/klagomål/A 20201-2024 FSC-klagomål.docx", "A 20201-2024")</f>
        <v/>
      </c>
      <c r="Z99">
        <f>HYPERLINK("https://klasma.github.io/Logging_0861/klagomålsmail/A 20201-2024 FSC-klagomål mail.docx", "A 20201-2024")</f>
        <v/>
      </c>
      <c r="AA99">
        <f>HYPERLINK("https://klasma.github.io/Logging_0861/tillsyn/A 20201-2024 tillsynsbegäran.docx", "A 20201-2024")</f>
        <v/>
      </c>
      <c r="AB99">
        <f>HYPERLINK("https://klasma.github.io/Logging_0861/tillsynsmail/A 20201-2024 tillsynsbegäran mail.docx", "A 20201-2024")</f>
        <v/>
      </c>
    </row>
    <row r="100" ht="15" customHeight="1">
      <c r="A100" t="inlineStr">
        <is>
          <t>S 3231-2024</t>
        </is>
      </c>
      <c r="B100" t="inlineStr">
        <is>
          <t>samrådsanmälan</t>
        </is>
      </c>
      <c r="C100" t="inlineStr">
        <is>
          <t>Askåterföring</t>
        </is>
      </c>
      <c r="D100" s="1" t="n">
        <v>45525</v>
      </c>
      <c r="E100" s="1" t="n">
        <v>46216</v>
      </c>
      <c r="F100" t="inlineStr">
        <is>
          <t>KALMAR LÄN</t>
        </is>
      </c>
      <c r="G100" t="inlineStr">
        <is>
          <t>MÖNSTERÅS</t>
        </is>
      </c>
      <c r="I100" t="n">
        <v>124.5</v>
      </c>
      <c r="J100" t="n">
        <v>1</v>
      </c>
      <c r="K100" t="n">
        <v>0</v>
      </c>
      <c r="L100" t="n">
        <v>0</v>
      </c>
      <c r="M100" t="n">
        <v>1</v>
      </c>
      <c r="N100" t="n">
        <v>0</v>
      </c>
      <c r="O100" t="n">
        <v>0</v>
      </c>
      <c r="P100" t="n">
        <v>0</v>
      </c>
      <c r="Q100" t="n">
        <v>1</v>
      </c>
      <c r="R100" t="n">
        <v>1</v>
      </c>
      <c r="S100" t="n">
        <v>1</v>
      </c>
      <c r="T100" t="n">
        <v>1</v>
      </c>
      <c r="U100" s="2" t="inlineStr">
        <is>
          <t>Hasselsnok</t>
        </is>
      </c>
      <c r="V100">
        <f>HYPERLINK("https://klasma.github.io/Logging_0861/artfynd/S 3231-2024 artfynd.xlsx", "S 3231-2024")</f>
        <v/>
      </c>
      <c r="W100">
        <f>HYPERLINK("https://klasma.github.io/Logging_0861/kartor/S 3231-2024 karta.png", "S 3231-2024")</f>
        <v/>
      </c>
      <c r="Y100">
        <f>HYPERLINK("https://klasma.github.io/Logging_0861/klagomål/S 3231-2024 FSC-klagomål.docx", "S 3231-2024")</f>
        <v/>
      </c>
      <c r="Z100">
        <f>HYPERLINK("https://klasma.github.io/Logging_0861/klagomålsmail/S 3231-2024 FSC-klagomål mail.docx", "S 3231-2024")</f>
        <v/>
      </c>
      <c r="AA100">
        <f>HYPERLINK("https://klasma.github.io/Logging_0861/tillsyn/S 3231-2024 tillsynsbegäran.docx", "S 3231-2024")</f>
        <v/>
      </c>
      <c r="AB100">
        <f>HYPERLINK("https://klasma.github.io/Logging_0861/tillsynsmail/S 3231-2024 tillsynsbegäran mail.docx", "S 3231-2024")</f>
        <v/>
      </c>
    </row>
    <row r="101" ht="15" customHeight="1">
      <c r="A101" t="inlineStr">
        <is>
          <t>A 64550-2021</t>
        </is>
      </c>
      <c r="B101" t="inlineStr">
        <is>
          <t>avverkningsanmälan</t>
        </is>
      </c>
      <c r="C101" t="inlineStr">
        <is>
          <t>Föryngringsavverkning</t>
        </is>
      </c>
      <c r="D101" s="1" t="n">
        <v>44511</v>
      </c>
      <c r="E101" s="1" t="n">
        <v>46216</v>
      </c>
      <c r="F101" t="inlineStr">
        <is>
          <t>KALMAR LÄN</t>
        </is>
      </c>
      <c r="G101" t="inlineStr">
        <is>
          <t>MÖNSTERÅS</t>
        </is>
      </c>
      <c r="I101" t="n">
        <v>9.1</v>
      </c>
      <c r="J101" t="n">
        <v>0</v>
      </c>
      <c r="K101" t="n">
        <v>0</v>
      </c>
      <c r="L101" t="n">
        <v>0</v>
      </c>
      <c r="M101" t="n">
        <v>0</v>
      </c>
      <c r="N101" t="n">
        <v>0</v>
      </c>
      <c r="O101" t="n">
        <v>0</v>
      </c>
      <c r="P101" t="n">
        <v>0</v>
      </c>
      <c r="Q101" t="n">
        <v>0</v>
      </c>
      <c r="R101" t="n">
        <v>0</v>
      </c>
      <c r="S101" t="n">
        <v>0</v>
      </c>
      <c r="T101" t="n">
        <v>0</v>
      </c>
      <c r="U101" s="2" t="inlineStr"/>
    </row>
    <row r="102" ht="15" customHeight="1">
      <c r="A102" t="inlineStr">
        <is>
          <t>A 42139-2021</t>
        </is>
      </c>
      <c r="B102" t="inlineStr">
        <is>
          <t>avverkningsanmälan</t>
        </is>
      </c>
      <c r="C102" t="inlineStr">
        <is>
          <t>Föryngringsavverkning</t>
        </is>
      </c>
      <c r="D102" s="1" t="n">
        <v>44426</v>
      </c>
      <c r="E102" s="1" t="n">
        <v>46216</v>
      </c>
      <c r="F102" t="inlineStr">
        <is>
          <t>KALMAR LÄN</t>
        </is>
      </c>
      <c r="G102" t="inlineStr">
        <is>
          <t>MÖNSTERÅS</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35715-2022</t>
        </is>
      </c>
      <c r="B103" t="inlineStr">
        <is>
          <t>avverkningsanmälan</t>
        </is>
      </c>
      <c r="C103" t="inlineStr">
        <is>
          <t>Föryngringsavverkning</t>
        </is>
      </c>
      <c r="D103" s="1" t="n">
        <v>44799</v>
      </c>
      <c r="E103" s="1" t="n">
        <v>46216</v>
      </c>
      <c r="F103" t="inlineStr">
        <is>
          <t>KALMAR LÄN</t>
        </is>
      </c>
      <c r="G103" t="inlineStr">
        <is>
          <t>MÖNSTERÅS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29347-2022</t>
        </is>
      </c>
      <c r="B104" t="inlineStr">
        <is>
          <t>avverkningsanmälan</t>
        </is>
      </c>
      <c r="C104" t="inlineStr">
        <is>
          <t>Föryngringsavverkning</t>
        </is>
      </c>
      <c r="D104" s="1" t="n">
        <v>44753</v>
      </c>
      <c r="E104" s="1" t="n">
        <v>46216</v>
      </c>
      <c r="F104" t="inlineStr">
        <is>
          <t>KALMAR LÄN</t>
        </is>
      </c>
      <c r="G104" t="inlineStr">
        <is>
          <t>MÖNSTERÅS</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70650-2021</t>
        </is>
      </c>
      <c r="B105" t="inlineStr">
        <is>
          <t>avverkningsanmälan</t>
        </is>
      </c>
      <c r="C105" t="inlineStr">
        <is>
          <t>Föryngringsavverkning</t>
        </is>
      </c>
      <c r="D105" s="1" t="n">
        <v>44537</v>
      </c>
      <c r="E105" s="1" t="n">
        <v>46216</v>
      </c>
      <c r="F105" t="inlineStr">
        <is>
          <t>KALMAR LÄN</t>
        </is>
      </c>
      <c r="G105" t="inlineStr">
        <is>
          <t>MÖNSTERÅS</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7173-2022</t>
        </is>
      </c>
      <c r="B106" t="inlineStr">
        <is>
          <t>avverkningsanmälan</t>
        </is>
      </c>
      <c r="C106" t="inlineStr">
        <is>
          <t>Föryngringsavverkning</t>
        </is>
      </c>
      <c r="D106" s="1" t="n">
        <v>44604</v>
      </c>
      <c r="E106" s="1" t="n">
        <v>46216</v>
      </c>
      <c r="F106" t="inlineStr">
        <is>
          <t>KALMAR LÄN</t>
        </is>
      </c>
      <c r="G106" t="inlineStr">
        <is>
          <t>MÖNSTERÅS</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58244-2021</t>
        </is>
      </c>
      <c r="B107" t="inlineStr">
        <is>
          <t>avverkningsanmälan</t>
        </is>
      </c>
      <c r="C107" t="inlineStr">
        <is>
          <t>Föryngringsavverkning</t>
        </is>
      </c>
      <c r="D107" s="1" t="n">
        <v>44487</v>
      </c>
      <c r="E107" s="1" t="n">
        <v>46216</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40817-2022</t>
        </is>
      </c>
      <c r="B108" t="inlineStr">
        <is>
          <t>avverkningsanmälan</t>
        </is>
      </c>
      <c r="C108" t="inlineStr">
        <is>
          <t>Föryngringsavverkning</t>
        </is>
      </c>
      <c r="D108" s="1" t="n">
        <v>44824</v>
      </c>
      <c r="E108" s="1" t="n">
        <v>46216</v>
      </c>
      <c r="F108" t="inlineStr">
        <is>
          <t>KALMAR LÄN</t>
        </is>
      </c>
      <c r="G108" t="inlineStr">
        <is>
          <t>MÖNSTERÅS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45417-2021</t>
        </is>
      </c>
      <c r="B109" t="inlineStr">
        <is>
          <t>avverkningsanmälan</t>
        </is>
      </c>
      <c r="C109" t="inlineStr">
        <is>
          <t>Föryngringsavverkning</t>
        </is>
      </c>
      <c r="D109" s="1" t="n">
        <v>44440</v>
      </c>
      <c r="E109" s="1" t="n">
        <v>46216</v>
      </c>
      <c r="F109" t="inlineStr">
        <is>
          <t>KALMAR LÄN</t>
        </is>
      </c>
      <c r="G109" t="inlineStr">
        <is>
          <t>MÖNSTERÅS</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14165-2022</t>
        </is>
      </c>
      <c r="B110" t="inlineStr">
        <is>
          <t>avverkningsanmälan</t>
        </is>
      </c>
      <c r="C110" t="inlineStr">
        <is>
          <t>Föryngringsavverkning</t>
        </is>
      </c>
      <c r="D110" s="1" t="n">
        <v>44651</v>
      </c>
      <c r="E110" s="1" t="n">
        <v>46216</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18825-2022</t>
        </is>
      </c>
      <c r="B111" t="inlineStr">
        <is>
          <t>avverkningsanmälan</t>
        </is>
      </c>
      <c r="C111" t="inlineStr">
        <is>
          <t>Föryngringsavverkning</t>
        </is>
      </c>
      <c r="D111" s="1" t="n">
        <v>44690</v>
      </c>
      <c r="E111" s="1" t="n">
        <v>46216</v>
      </c>
      <c r="F111" t="inlineStr">
        <is>
          <t>KALMAR LÄN</t>
        </is>
      </c>
      <c r="G111" t="inlineStr">
        <is>
          <t>MÖNSTERÅS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20250-2022</t>
        </is>
      </c>
      <c r="B112" t="inlineStr">
        <is>
          <t>avverkningsanmälan</t>
        </is>
      </c>
      <c r="C112" t="inlineStr">
        <is>
          <t>Föryngringsavverkning</t>
        </is>
      </c>
      <c r="D112" s="1" t="n">
        <v>44698</v>
      </c>
      <c r="E112" s="1" t="n">
        <v>46216</v>
      </c>
      <c r="F112" t="inlineStr">
        <is>
          <t>KALMAR LÄN</t>
        </is>
      </c>
      <c r="G112" t="inlineStr">
        <is>
          <t>MÖNSTERÅS</t>
        </is>
      </c>
      <c r="I112" t="n">
        <v>4.2</v>
      </c>
      <c r="J112" t="n">
        <v>0</v>
      </c>
      <c r="K112" t="n">
        <v>0</v>
      </c>
      <c r="L112" t="n">
        <v>0</v>
      </c>
      <c r="M112" t="n">
        <v>0</v>
      </c>
      <c r="N112" t="n">
        <v>0</v>
      </c>
      <c r="O112" t="n">
        <v>0</v>
      </c>
      <c r="P112" t="n">
        <v>0</v>
      </c>
      <c r="Q112" t="n">
        <v>0</v>
      </c>
      <c r="R112" t="n">
        <v>0</v>
      </c>
      <c r="S112" t="n">
        <v>0</v>
      </c>
      <c r="T112" t="n">
        <v>0</v>
      </c>
      <c r="U112" s="2" t="inlineStr"/>
    </row>
    <row r="113" ht="15" customHeight="1">
      <c r="A113" t="inlineStr">
        <is>
          <t>A 51358-2021</t>
        </is>
      </c>
      <c r="B113" t="inlineStr">
        <is>
          <t>avverkningsanmälan</t>
        </is>
      </c>
      <c r="C113" t="inlineStr">
        <is>
          <t>Föryngringsavverkning</t>
        </is>
      </c>
      <c r="D113" s="1" t="n">
        <v>44461</v>
      </c>
      <c r="E113" s="1" t="n">
        <v>46216</v>
      </c>
      <c r="F113" t="inlineStr">
        <is>
          <t>KALMAR LÄN</t>
        </is>
      </c>
      <c r="G113" t="inlineStr">
        <is>
          <t>MÖNSTERÅS</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50069-2022</t>
        </is>
      </c>
      <c r="B114" t="inlineStr">
        <is>
          <t>avverkningsanmälan</t>
        </is>
      </c>
      <c r="C114" t="inlineStr">
        <is>
          <t>Föryngringsavverkning</t>
        </is>
      </c>
      <c r="D114" s="1" t="n">
        <v>44865</v>
      </c>
      <c r="E114" s="1" t="n">
        <v>46216</v>
      </c>
      <c r="F114" t="inlineStr">
        <is>
          <t>KALMAR LÄN</t>
        </is>
      </c>
      <c r="G114" t="inlineStr">
        <is>
          <t>MÖNSTERÅS</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49498-2021</t>
        </is>
      </c>
      <c r="B115" t="inlineStr">
        <is>
          <t>avverkningsanmälan</t>
        </is>
      </c>
      <c r="C115" t="inlineStr">
        <is>
          <t>Föryngringsavverkning</t>
        </is>
      </c>
      <c r="D115" s="1" t="n">
        <v>44455</v>
      </c>
      <c r="E115" s="1" t="n">
        <v>46216</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40405-2021</t>
        </is>
      </c>
      <c r="B116" t="inlineStr">
        <is>
          <t>avverkningsanmälan</t>
        </is>
      </c>
      <c r="C116" t="inlineStr">
        <is>
          <t>Föryngringsavverkning</t>
        </is>
      </c>
      <c r="D116" s="1" t="n">
        <v>44419</v>
      </c>
      <c r="E116" s="1" t="n">
        <v>46216</v>
      </c>
      <c r="F116" t="inlineStr">
        <is>
          <t>KALMAR LÄN</t>
        </is>
      </c>
      <c r="G116" t="inlineStr">
        <is>
          <t>MÖNSTERÅS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50016-2022</t>
        </is>
      </c>
      <c r="B117" t="inlineStr">
        <is>
          <t>avverkningsanmälan</t>
        </is>
      </c>
      <c r="C117" t="inlineStr">
        <is>
          <t>Föryngringsavverkning</t>
        </is>
      </c>
      <c r="D117" s="1" t="n">
        <v>44865</v>
      </c>
      <c r="E117" s="1" t="n">
        <v>46216</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50489-2021</t>
        </is>
      </c>
      <c r="B118" t="inlineStr">
        <is>
          <t>avverkningsanmälan</t>
        </is>
      </c>
      <c r="C118" t="inlineStr">
        <is>
          <t>Föryngringsavverkning</t>
        </is>
      </c>
      <c r="D118" s="1" t="n">
        <v>44459</v>
      </c>
      <c r="E118" s="1" t="n">
        <v>46216</v>
      </c>
      <c r="F118" t="inlineStr">
        <is>
          <t>KALMAR LÄN</t>
        </is>
      </c>
      <c r="G118" t="inlineStr">
        <is>
          <t>MÖNSTERÅS</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73186-2021</t>
        </is>
      </c>
      <c r="B119" t="inlineStr">
        <is>
          <t>avverkningsanmälan</t>
        </is>
      </c>
      <c r="C119" t="inlineStr">
        <is>
          <t>Föryngringsavverkning</t>
        </is>
      </c>
      <c r="D119" s="1" t="n">
        <v>44546</v>
      </c>
      <c r="E119" s="1" t="n">
        <v>46216</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58772-2021</t>
        </is>
      </c>
      <c r="B120" t="inlineStr">
        <is>
          <t>avverkningsanmälan</t>
        </is>
      </c>
      <c r="C120" t="inlineStr">
        <is>
          <t>Föryngringsavverkning</t>
        </is>
      </c>
      <c r="D120" s="1" t="n">
        <v>44489</v>
      </c>
      <c r="E120" s="1" t="n">
        <v>46216</v>
      </c>
      <c r="F120" t="inlineStr">
        <is>
          <t>KALMAR LÄN</t>
        </is>
      </c>
      <c r="G120" t="inlineStr">
        <is>
          <t>MÖNSTERÅS</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70594-2021</t>
        </is>
      </c>
      <c r="B121" t="inlineStr">
        <is>
          <t>avverkningsanmälan</t>
        </is>
      </c>
      <c r="C121" t="inlineStr">
        <is>
          <t>Föryngringsavverkning</t>
        </is>
      </c>
      <c r="D121" s="1" t="n">
        <v>44537</v>
      </c>
      <c r="E121" s="1" t="n">
        <v>46216</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13743-2022</t>
        </is>
      </c>
      <c r="B122" t="inlineStr">
        <is>
          <t>avverkningsanmälan</t>
        </is>
      </c>
      <c r="C122" t="inlineStr">
        <is>
          <t>Avverkning för annat ändamål</t>
        </is>
      </c>
      <c r="D122" s="1" t="n">
        <v>44649</v>
      </c>
      <c r="E122" s="1" t="n">
        <v>46216</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s="2" t="inlineStr"/>
    </row>
    <row r="123" ht="15" customHeight="1">
      <c r="A123" t="inlineStr">
        <is>
          <t>A 7238-2022</t>
        </is>
      </c>
      <c r="B123" t="inlineStr">
        <is>
          <t>avverkningsanmälan</t>
        </is>
      </c>
      <c r="C123" t="inlineStr">
        <is>
          <t>Föryngringsavverkning</t>
        </is>
      </c>
      <c r="D123" s="1" t="n">
        <v>44606</v>
      </c>
      <c r="E123" s="1" t="n">
        <v>46216</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66046-2021</t>
        </is>
      </c>
      <c r="B124" t="inlineStr">
        <is>
          <t>avverkningsanmälan</t>
        </is>
      </c>
      <c r="C124" t="inlineStr">
        <is>
          <t>Föryngringsavverkning</t>
        </is>
      </c>
      <c r="D124" s="1" t="n">
        <v>44517</v>
      </c>
      <c r="E124" s="1" t="n">
        <v>46216</v>
      </c>
      <c r="F124" t="inlineStr">
        <is>
          <t>KALMAR LÄN</t>
        </is>
      </c>
      <c r="G124" t="inlineStr">
        <is>
          <t>MÖNSTERÅS</t>
        </is>
      </c>
      <c r="H124" t="inlineStr">
        <is>
          <t>Kommuner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24743-2022</t>
        </is>
      </c>
      <c r="B125" t="inlineStr">
        <is>
          <t>avverkningsanmälan</t>
        </is>
      </c>
      <c r="C125" t="inlineStr">
        <is>
          <t>Föryngringsavverkning</t>
        </is>
      </c>
      <c r="D125" s="1" t="n">
        <v>44727</v>
      </c>
      <c r="E125" s="1" t="n">
        <v>46216</v>
      </c>
      <c r="F125" t="inlineStr">
        <is>
          <t>KALMAR LÄN</t>
        </is>
      </c>
      <c r="G125" t="inlineStr">
        <is>
          <t>MÖNSTERÅS</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54488-2022</t>
        </is>
      </c>
      <c r="B126" t="inlineStr">
        <is>
          <t>avverkningsanmälan</t>
        </is>
      </c>
      <c r="C126" t="inlineStr">
        <is>
          <t>Föryngringsavverkning</t>
        </is>
      </c>
      <c r="D126" s="1" t="n">
        <v>44882</v>
      </c>
      <c r="E126" s="1" t="n">
        <v>46216</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42125-2021</t>
        </is>
      </c>
      <c r="B127" t="inlineStr">
        <is>
          <t>avverkningsanmälan</t>
        </is>
      </c>
      <c r="C127" t="inlineStr">
        <is>
          <t>Föryngringsavverkning</t>
        </is>
      </c>
      <c r="D127" s="1" t="n">
        <v>44426</v>
      </c>
      <c r="E127" s="1" t="n">
        <v>46216</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66212-2021</t>
        </is>
      </c>
      <c r="B128" t="inlineStr">
        <is>
          <t>avverkningsanmälan</t>
        </is>
      </c>
      <c r="C128" t="inlineStr">
        <is>
          <t>Föryngringsavverkning</t>
        </is>
      </c>
      <c r="D128" s="1" t="n">
        <v>44518</v>
      </c>
      <c r="E128" s="1" t="n">
        <v>46216</v>
      </c>
      <c r="F128" t="inlineStr">
        <is>
          <t>KALMAR LÄN</t>
        </is>
      </c>
      <c r="G128" t="inlineStr">
        <is>
          <t>MÖNSTERÅS</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66796-2021</t>
        </is>
      </c>
      <c r="B129" t="inlineStr">
        <is>
          <t>avverkningsanmälan</t>
        </is>
      </c>
      <c r="C129" t="inlineStr">
        <is>
          <t>Föryngringsavverkning</t>
        </is>
      </c>
      <c r="D129" s="1" t="n">
        <v>44519</v>
      </c>
      <c r="E129" s="1" t="n">
        <v>46216</v>
      </c>
      <c r="F129" t="inlineStr">
        <is>
          <t>KALMAR LÄN</t>
        </is>
      </c>
      <c r="G129" t="inlineStr">
        <is>
          <t>MÖNSTERÅS</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55419-2021</t>
        </is>
      </c>
      <c r="B130" t="inlineStr">
        <is>
          <t>avverkningsanmälan</t>
        </is>
      </c>
      <c r="C130" t="inlineStr">
        <is>
          <t>Föryngringsavverkning</t>
        </is>
      </c>
      <c r="D130" s="1" t="n">
        <v>44475</v>
      </c>
      <c r="E130" s="1" t="n">
        <v>46216</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1448-2022</t>
        </is>
      </c>
      <c r="B131" t="inlineStr">
        <is>
          <t>avverkningsanmälan</t>
        </is>
      </c>
      <c r="C131" t="inlineStr">
        <is>
          <t>Föryngringsavverkning</t>
        </is>
      </c>
      <c r="D131" s="1" t="n">
        <v>44573</v>
      </c>
      <c r="E131" s="1" t="n">
        <v>46216</v>
      </c>
      <c r="F131" t="inlineStr">
        <is>
          <t>KALMAR LÄN</t>
        </is>
      </c>
      <c r="G131" t="inlineStr">
        <is>
          <t>MÖNSTERÅS</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64525-2021</t>
        </is>
      </c>
      <c r="B132" t="inlineStr">
        <is>
          <t>avverkningsanmälan</t>
        </is>
      </c>
      <c r="C132" t="inlineStr">
        <is>
          <t>Föryngringsavverkning</t>
        </is>
      </c>
      <c r="D132" s="1" t="n">
        <v>44511</v>
      </c>
      <c r="E132" s="1" t="n">
        <v>46216</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40242-2022</t>
        </is>
      </c>
      <c r="B133" t="inlineStr">
        <is>
          <t>avverkningsanmälan</t>
        </is>
      </c>
      <c r="C133" t="inlineStr">
        <is>
          <t>Föryngringsavverkning</t>
        </is>
      </c>
      <c r="D133" s="1" t="n">
        <v>44820</v>
      </c>
      <c r="E133" s="1" t="n">
        <v>46216</v>
      </c>
      <c r="F133" t="inlineStr">
        <is>
          <t>KALMAR LÄN</t>
        </is>
      </c>
      <c r="G133" t="inlineStr">
        <is>
          <t>MÖNSTERÅS</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50054-2022</t>
        </is>
      </c>
      <c r="B134" t="inlineStr">
        <is>
          <t>avverkningsanmälan</t>
        </is>
      </c>
      <c r="C134" t="inlineStr">
        <is>
          <t>Föryngringsavverkning</t>
        </is>
      </c>
      <c r="D134" s="1" t="n">
        <v>44865</v>
      </c>
      <c r="E134" s="1" t="n">
        <v>46216</v>
      </c>
      <c r="F134" t="inlineStr">
        <is>
          <t>KALMAR LÄN</t>
        </is>
      </c>
      <c r="G134" t="inlineStr">
        <is>
          <t>MÖNSTERÅS</t>
        </is>
      </c>
      <c r="I134" t="n">
        <v>4</v>
      </c>
      <c r="J134" t="n">
        <v>0</v>
      </c>
      <c r="K134" t="n">
        <v>0</v>
      </c>
      <c r="L134" t="n">
        <v>0</v>
      </c>
      <c r="M134" t="n">
        <v>0</v>
      </c>
      <c r="N134" t="n">
        <v>0</v>
      </c>
      <c r="O134" t="n">
        <v>0</v>
      </c>
      <c r="P134" t="n">
        <v>0</v>
      </c>
      <c r="Q134" t="n">
        <v>0</v>
      </c>
      <c r="R134" t="n">
        <v>0</v>
      </c>
      <c r="S134" t="n">
        <v>0</v>
      </c>
      <c r="T134" t="n">
        <v>0</v>
      </c>
      <c r="U134" s="2" t="inlineStr"/>
    </row>
    <row r="135" ht="15" customHeight="1">
      <c r="A135" t="inlineStr">
        <is>
          <t>A 52646-2022</t>
        </is>
      </c>
      <c r="B135" t="inlineStr">
        <is>
          <t>avverkningsanmälan</t>
        </is>
      </c>
      <c r="C135" t="inlineStr">
        <is>
          <t>Föryngringsavverkning</t>
        </is>
      </c>
      <c r="D135" s="1" t="n">
        <v>44874</v>
      </c>
      <c r="E135" s="1" t="n">
        <v>46216</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10108-2022</t>
        </is>
      </c>
      <c r="B136" t="inlineStr">
        <is>
          <t>avverkningsanmälan</t>
        </is>
      </c>
      <c r="C136" t="inlineStr">
        <is>
          <t>Föryngringsavverkning</t>
        </is>
      </c>
      <c r="D136" s="1" t="n">
        <v>44621</v>
      </c>
      <c r="E136" s="1" t="n">
        <v>46216</v>
      </c>
      <c r="F136" t="inlineStr">
        <is>
          <t>KALMAR LÄN</t>
        </is>
      </c>
      <c r="G136" t="inlineStr">
        <is>
          <t>MÖNSTERÅS</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52642-2022</t>
        </is>
      </c>
      <c r="B137" t="inlineStr">
        <is>
          <t>avverkningsanmälan</t>
        </is>
      </c>
      <c r="C137" t="inlineStr">
        <is>
          <t>Föryngringsavverkning</t>
        </is>
      </c>
      <c r="D137" s="1" t="n">
        <v>44874</v>
      </c>
      <c r="E137" s="1" t="n">
        <v>46216</v>
      </c>
      <c r="F137" t="inlineStr">
        <is>
          <t>KALMAR LÄN</t>
        </is>
      </c>
      <c r="G137" t="inlineStr">
        <is>
          <t>MÖNSTERÅS</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13224-2022</t>
        </is>
      </c>
      <c r="B138" t="inlineStr">
        <is>
          <t>avverkningsanmälan</t>
        </is>
      </c>
      <c r="C138" t="inlineStr">
        <is>
          <t>Föryngringsavverkning</t>
        </is>
      </c>
      <c r="D138" s="1" t="n">
        <v>44644</v>
      </c>
      <c r="E138" s="1" t="n">
        <v>46216</v>
      </c>
      <c r="F138" t="inlineStr">
        <is>
          <t>KALMAR LÄN</t>
        </is>
      </c>
      <c r="G138" t="inlineStr">
        <is>
          <t>MÖNSTERÅS</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36250-2021</t>
        </is>
      </c>
      <c r="B139" t="inlineStr">
        <is>
          <t>avverkningsanmälan</t>
        </is>
      </c>
      <c r="C139" t="inlineStr">
        <is>
          <t>Föryngringsavverkning</t>
        </is>
      </c>
      <c r="D139" s="1" t="n">
        <v>44389</v>
      </c>
      <c r="E139" s="1" t="n">
        <v>46216</v>
      </c>
      <c r="F139" t="inlineStr">
        <is>
          <t>KALMAR LÄN</t>
        </is>
      </c>
      <c r="G139" t="inlineStr">
        <is>
          <t>MÖNSTERÅS</t>
        </is>
      </c>
      <c r="H139" t="inlineStr">
        <is>
          <t>Kyrkan</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4974-2022</t>
        </is>
      </c>
      <c r="B140" t="inlineStr">
        <is>
          <t>avverkningsanmälan</t>
        </is>
      </c>
      <c r="C140" t="inlineStr">
        <is>
          <t>Föryngringsavverkning</t>
        </is>
      </c>
      <c r="D140" s="1" t="n">
        <v>44593</v>
      </c>
      <c r="E140" s="1" t="n">
        <v>46216</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s="2" t="inlineStr"/>
    </row>
    <row r="141" ht="15" customHeight="1">
      <c r="A141" t="inlineStr">
        <is>
          <t>A 12896-2022</t>
        </is>
      </c>
      <c r="B141" t="inlineStr">
        <is>
          <t>avverkningsanmälan</t>
        </is>
      </c>
      <c r="C141" t="inlineStr">
        <is>
          <t>Föryngringsavverkning</t>
        </is>
      </c>
      <c r="D141" s="1" t="n">
        <v>44642</v>
      </c>
      <c r="E141" s="1" t="n">
        <v>46216</v>
      </c>
      <c r="F141" t="inlineStr">
        <is>
          <t>KALMAR LÄN</t>
        </is>
      </c>
      <c r="G141" t="inlineStr">
        <is>
          <t>MÖNSTERÅS</t>
        </is>
      </c>
      <c r="H141" t="inlineStr">
        <is>
          <t>Kommuner</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49809-2021</t>
        </is>
      </c>
      <c r="B142" t="inlineStr">
        <is>
          <t>avverkningsanmälan</t>
        </is>
      </c>
      <c r="C142" t="inlineStr">
        <is>
          <t>Föryngringsavverkning</t>
        </is>
      </c>
      <c r="D142" s="1" t="n">
        <v>44455</v>
      </c>
      <c r="E142" s="1" t="n">
        <v>46216</v>
      </c>
      <c r="F142" t="inlineStr">
        <is>
          <t>KALMAR LÄN</t>
        </is>
      </c>
      <c r="G142" t="inlineStr">
        <is>
          <t>MÖNSTERÅS</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34079-2022</t>
        </is>
      </c>
      <c r="B143" t="inlineStr">
        <is>
          <t>avverkningsanmälan</t>
        </is>
      </c>
      <c r="C143" t="inlineStr">
        <is>
          <t>Föryngringsavverkning</t>
        </is>
      </c>
      <c r="D143" s="1" t="n">
        <v>44791</v>
      </c>
      <c r="E143" s="1" t="n">
        <v>46216</v>
      </c>
      <c r="F143" t="inlineStr">
        <is>
          <t>KALMAR LÄN</t>
        </is>
      </c>
      <c r="G143" t="inlineStr">
        <is>
          <t>MÖNSTERÅS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58894-2023</t>
        </is>
      </c>
      <c r="B144" t="inlineStr">
        <is>
          <t>avverkningsanmälan</t>
        </is>
      </c>
      <c r="C144" t="inlineStr">
        <is>
          <t>Föryngringsavverkning</t>
        </is>
      </c>
      <c r="D144" s="1" t="n">
        <v>45250</v>
      </c>
      <c r="E144" s="1" t="n">
        <v>46216</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9545-2024</t>
        </is>
      </c>
      <c r="B145" t="inlineStr">
        <is>
          <t>avverkningsanmälan</t>
        </is>
      </c>
      <c r="C145" t="inlineStr">
        <is>
          <t>Föryngringsavverkning</t>
        </is>
      </c>
      <c r="D145" s="1" t="n">
        <v>45359</v>
      </c>
      <c r="E145" s="1" t="n">
        <v>46216</v>
      </c>
      <c r="F145" t="inlineStr">
        <is>
          <t>KALMAR LÄN</t>
        </is>
      </c>
      <c r="G145" t="inlineStr">
        <is>
          <t>MÖNSTERÅS</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70644-2021</t>
        </is>
      </c>
      <c r="B146" t="inlineStr">
        <is>
          <t>avverkningsanmälan</t>
        </is>
      </c>
      <c r="C146" t="inlineStr">
        <is>
          <t>Avverkning för annat ändamål</t>
        </is>
      </c>
      <c r="D146" s="1" t="n">
        <v>44537</v>
      </c>
      <c r="E146" s="1" t="n">
        <v>46216</v>
      </c>
      <c r="F146" t="inlineStr">
        <is>
          <t>KALMAR LÄN</t>
        </is>
      </c>
      <c r="G146" t="inlineStr">
        <is>
          <t>MÖNSTERÅS</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31384-2023</t>
        </is>
      </c>
      <c r="B147" t="inlineStr">
        <is>
          <t>avverkningsanmälan</t>
        </is>
      </c>
      <c r="C147" t="inlineStr">
        <is>
          <t>Föryngringsavverkning</t>
        </is>
      </c>
      <c r="D147" s="1" t="n">
        <v>45114</v>
      </c>
      <c r="E147" s="1" t="n">
        <v>46216</v>
      </c>
      <c r="F147" t="inlineStr">
        <is>
          <t>KALMAR LÄN</t>
        </is>
      </c>
      <c r="G147" t="inlineStr">
        <is>
          <t>MÖNSTERÅS</t>
        </is>
      </c>
      <c r="H147" t="inlineStr">
        <is>
          <t>Kommuner</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24716-2022</t>
        </is>
      </c>
      <c r="B148" t="inlineStr">
        <is>
          <t>avverkningsanmälan</t>
        </is>
      </c>
      <c r="C148" t="inlineStr">
        <is>
          <t>Föryngringsavverkning</t>
        </is>
      </c>
      <c r="D148" s="1" t="n">
        <v>44727</v>
      </c>
      <c r="E148" s="1" t="n">
        <v>46216</v>
      </c>
      <c r="F148" t="inlineStr">
        <is>
          <t>KALMAR LÄN</t>
        </is>
      </c>
      <c r="G148" t="inlineStr">
        <is>
          <t>MÖNSTERÅS</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24488-2024</t>
        </is>
      </c>
      <c r="B149" t="inlineStr">
        <is>
          <t>avverkningsanmälan</t>
        </is>
      </c>
      <c r="C149" t="inlineStr">
        <is>
          <t>Föryngringsavverkning</t>
        </is>
      </c>
      <c r="D149" s="1" t="n">
        <v>45459</v>
      </c>
      <c r="E149" s="1" t="n">
        <v>46216</v>
      </c>
      <c r="F149" t="inlineStr">
        <is>
          <t>KALMAR LÄN</t>
        </is>
      </c>
      <c r="G149" t="inlineStr">
        <is>
          <t>MÖNSTERÅS</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20498-2023</t>
        </is>
      </c>
      <c r="B150" t="inlineStr">
        <is>
          <t>avverkningsanmälan</t>
        </is>
      </c>
      <c r="C150" t="inlineStr">
        <is>
          <t>Föryngringsavverkning</t>
        </is>
      </c>
      <c r="D150" s="1" t="n">
        <v>45057</v>
      </c>
      <c r="E150" s="1" t="n">
        <v>46216</v>
      </c>
      <c r="F150" t="inlineStr">
        <is>
          <t>KALMAR LÄN</t>
        </is>
      </c>
      <c r="G150" t="inlineStr">
        <is>
          <t>MÖNSTERÅS</t>
        </is>
      </c>
      <c r="I150" t="n">
        <v>6.5</v>
      </c>
      <c r="J150" t="n">
        <v>0</v>
      </c>
      <c r="K150" t="n">
        <v>0</v>
      </c>
      <c r="L150" t="n">
        <v>0</v>
      </c>
      <c r="M150" t="n">
        <v>0</v>
      </c>
      <c r="N150" t="n">
        <v>0</v>
      </c>
      <c r="O150" t="n">
        <v>0</v>
      </c>
      <c r="P150" t="n">
        <v>0</v>
      </c>
      <c r="Q150" t="n">
        <v>0</v>
      </c>
      <c r="R150" t="n">
        <v>0</v>
      </c>
      <c r="S150" t="n">
        <v>0</v>
      </c>
      <c r="T150" t="n">
        <v>0</v>
      </c>
      <c r="U150" s="2" t="inlineStr"/>
    </row>
    <row r="151" ht="15" customHeight="1">
      <c r="A151" t="inlineStr">
        <is>
          <t>A 38245-2023</t>
        </is>
      </c>
      <c r="B151" t="inlineStr">
        <is>
          <t>avverkningsanmälan</t>
        </is>
      </c>
      <c r="C151" t="inlineStr">
        <is>
          <t>Föryngringsavverkning</t>
        </is>
      </c>
      <c r="D151" s="1" t="n">
        <v>45161</v>
      </c>
      <c r="E151" s="1" t="n">
        <v>46216</v>
      </c>
      <c r="F151" t="inlineStr">
        <is>
          <t>KALMAR LÄN</t>
        </is>
      </c>
      <c r="G151" t="inlineStr">
        <is>
          <t>MÖNSTERÅS</t>
        </is>
      </c>
      <c r="I151" t="n">
        <v>6.6</v>
      </c>
      <c r="J151" t="n">
        <v>0</v>
      </c>
      <c r="K151" t="n">
        <v>0</v>
      </c>
      <c r="L151" t="n">
        <v>0</v>
      </c>
      <c r="M151" t="n">
        <v>0</v>
      </c>
      <c r="N151" t="n">
        <v>0</v>
      </c>
      <c r="O151" t="n">
        <v>0</v>
      </c>
      <c r="P151" t="n">
        <v>0</v>
      </c>
      <c r="Q151" t="n">
        <v>0</v>
      </c>
      <c r="R151" t="n">
        <v>0</v>
      </c>
      <c r="S151" t="n">
        <v>0</v>
      </c>
      <c r="T151" t="n">
        <v>0</v>
      </c>
      <c r="U151" s="2" t="inlineStr"/>
    </row>
    <row r="152" ht="15" customHeight="1">
      <c r="A152" t="inlineStr">
        <is>
          <t>A 33658-2023</t>
        </is>
      </c>
      <c r="B152" t="inlineStr">
        <is>
          <t>avverkningsanmälan</t>
        </is>
      </c>
      <c r="C152" t="inlineStr">
        <is>
          <t>Föryngringsavverkning</t>
        </is>
      </c>
      <c r="D152" s="1" t="n">
        <v>45132</v>
      </c>
      <c r="E152" s="1" t="n">
        <v>46216</v>
      </c>
      <c r="F152" t="inlineStr">
        <is>
          <t>KALMAR LÄN</t>
        </is>
      </c>
      <c r="G152" t="inlineStr">
        <is>
          <t>MÖNSTERÅS</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53502-2022</t>
        </is>
      </c>
      <c r="B153" t="inlineStr">
        <is>
          <t>avverkningsanmälan</t>
        </is>
      </c>
      <c r="C153" t="inlineStr">
        <is>
          <t>Föryngringsavverkning</t>
        </is>
      </c>
      <c r="D153" s="1" t="n">
        <v>44879</v>
      </c>
      <c r="E153" s="1" t="n">
        <v>46216</v>
      </c>
      <c r="F153" t="inlineStr">
        <is>
          <t>KALMAR LÄN</t>
        </is>
      </c>
      <c r="G153" t="inlineStr">
        <is>
          <t>MÖNSTERÅS</t>
        </is>
      </c>
      <c r="I153" t="n">
        <v>9.6</v>
      </c>
      <c r="J153" t="n">
        <v>0</v>
      </c>
      <c r="K153" t="n">
        <v>0</v>
      </c>
      <c r="L153" t="n">
        <v>0</v>
      </c>
      <c r="M153" t="n">
        <v>0</v>
      </c>
      <c r="N153" t="n">
        <v>0</v>
      </c>
      <c r="O153" t="n">
        <v>0</v>
      </c>
      <c r="P153" t="n">
        <v>0</v>
      </c>
      <c r="Q153" t="n">
        <v>0</v>
      </c>
      <c r="R153" t="n">
        <v>0</v>
      </c>
      <c r="S153" t="n">
        <v>0</v>
      </c>
      <c r="T153" t="n">
        <v>0</v>
      </c>
      <c r="U153" s="2" t="inlineStr"/>
    </row>
    <row r="154" ht="15" customHeight="1">
      <c r="A154" t="inlineStr">
        <is>
          <t>A 9974-2022</t>
        </is>
      </c>
      <c r="B154" t="inlineStr">
        <is>
          <t>avverkningsanmälan</t>
        </is>
      </c>
      <c r="C154" t="inlineStr">
        <is>
          <t>Föryngringsavverkning</t>
        </is>
      </c>
      <c r="D154" s="1" t="n">
        <v>44621</v>
      </c>
      <c r="E154" s="1" t="n">
        <v>46216</v>
      </c>
      <c r="F154" t="inlineStr">
        <is>
          <t>KALMAR LÄN</t>
        </is>
      </c>
      <c r="G154" t="inlineStr">
        <is>
          <t>MÖNSTERÅS</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31757-2023</t>
        </is>
      </c>
      <c r="B155" t="inlineStr">
        <is>
          <t>avverkningsanmälan</t>
        </is>
      </c>
      <c r="C155" t="inlineStr">
        <is>
          <t>Föryngringsavverkning</t>
        </is>
      </c>
      <c r="D155" s="1" t="n">
        <v>45106</v>
      </c>
      <c r="E155" s="1" t="n">
        <v>46216</v>
      </c>
      <c r="F155" t="inlineStr">
        <is>
          <t>KALMAR LÄN</t>
        </is>
      </c>
      <c r="G155" t="inlineStr">
        <is>
          <t>MÖNSTERÅS</t>
        </is>
      </c>
      <c r="H155" t="inlineStr">
        <is>
          <t>Kyrkan</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35805-2022</t>
        </is>
      </c>
      <c r="B156" t="inlineStr">
        <is>
          <t>avverkningsanmälan</t>
        </is>
      </c>
      <c r="C156" t="inlineStr">
        <is>
          <t>Föryngringsavverkning</t>
        </is>
      </c>
      <c r="D156" s="1" t="n">
        <v>44802</v>
      </c>
      <c r="E156" s="1" t="n">
        <v>46216</v>
      </c>
      <c r="F156" t="inlineStr">
        <is>
          <t>KALMAR LÄN</t>
        </is>
      </c>
      <c r="G156" t="inlineStr">
        <is>
          <t>MÖNSTERÅS</t>
        </is>
      </c>
      <c r="I156" t="n">
        <v>12.9</v>
      </c>
      <c r="J156" t="n">
        <v>0</v>
      </c>
      <c r="K156" t="n">
        <v>0</v>
      </c>
      <c r="L156" t="n">
        <v>0</v>
      </c>
      <c r="M156" t="n">
        <v>0</v>
      </c>
      <c r="N156" t="n">
        <v>0</v>
      </c>
      <c r="O156" t="n">
        <v>0</v>
      </c>
      <c r="P156" t="n">
        <v>0</v>
      </c>
      <c r="Q156" t="n">
        <v>0</v>
      </c>
      <c r="R156" t="n">
        <v>0</v>
      </c>
      <c r="S156" t="n">
        <v>0</v>
      </c>
      <c r="T156" t="n">
        <v>0</v>
      </c>
      <c r="U156" s="2" t="inlineStr"/>
    </row>
    <row r="157" ht="15" customHeight="1">
      <c r="A157" t="inlineStr">
        <is>
          <t>A 16324-2023</t>
        </is>
      </c>
      <c r="B157" t="inlineStr">
        <is>
          <t>avverkningsanmälan</t>
        </is>
      </c>
      <c r="C157" t="inlineStr">
        <is>
          <t>Föryngringsavverkning</t>
        </is>
      </c>
      <c r="D157" s="1" t="n">
        <v>45028</v>
      </c>
      <c r="E157" s="1" t="n">
        <v>46216</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43746-2024</t>
        </is>
      </c>
      <c r="B158" t="inlineStr">
        <is>
          <t>avverkningsanmälan</t>
        </is>
      </c>
      <c r="C158" t="inlineStr">
        <is>
          <t>Föryngringsavverkning</t>
        </is>
      </c>
      <c r="D158" s="1" t="n">
        <v>45569</v>
      </c>
      <c r="E158" s="1" t="n">
        <v>46216</v>
      </c>
      <c r="F158" t="inlineStr">
        <is>
          <t>KALMAR LÄN</t>
        </is>
      </c>
      <c r="G158" t="inlineStr">
        <is>
          <t>MÖNSTERÅS</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39860-2024</t>
        </is>
      </c>
      <c r="B159" t="inlineStr">
        <is>
          <t>avverkningsanmälan</t>
        </is>
      </c>
      <c r="C159" t="inlineStr">
        <is>
          <t>Föryngringsavverkning</t>
        </is>
      </c>
      <c r="D159" s="1" t="n">
        <v>45553</v>
      </c>
      <c r="E159" s="1" t="n">
        <v>46216</v>
      </c>
      <c r="F159" t="inlineStr">
        <is>
          <t>KALMAR LÄN</t>
        </is>
      </c>
      <c r="G159" t="inlineStr">
        <is>
          <t>MÖNSTERÅS</t>
        </is>
      </c>
      <c r="I159" t="n">
        <v>6.6</v>
      </c>
      <c r="J159" t="n">
        <v>0</v>
      </c>
      <c r="K159" t="n">
        <v>0</v>
      </c>
      <c r="L159" t="n">
        <v>0</v>
      </c>
      <c r="M159" t="n">
        <v>0</v>
      </c>
      <c r="N159" t="n">
        <v>0</v>
      </c>
      <c r="O159" t="n">
        <v>0</v>
      </c>
      <c r="P159" t="n">
        <v>0</v>
      </c>
      <c r="Q159" t="n">
        <v>0</v>
      </c>
      <c r="R159" t="n">
        <v>0</v>
      </c>
      <c r="S159" t="n">
        <v>0</v>
      </c>
      <c r="T159" t="n">
        <v>0</v>
      </c>
      <c r="U159" s="2" t="inlineStr"/>
    </row>
    <row r="160" ht="15" customHeight="1">
      <c r="A160" t="inlineStr">
        <is>
          <t>A 37233-2024</t>
        </is>
      </c>
      <c r="B160" t="inlineStr">
        <is>
          <t>avverkningsanmälan</t>
        </is>
      </c>
      <c r="C160" t="inlineStr">
        <is>
          <t>Föryngringsavverkning</t>
        </is>
      </c>
      <c r="D160" s="1" t="n">
        <v>45540</v>
      </c>
      <c r="E160" s="1" t="n">
        <v>46216</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s="2" t="inlineStr"/>
    </row>
    <row r="161" ht="15" customHeight="1">
      <c r="A161" t="inlineStr">
        <is>
          <t>A 37237-2024</t>
        </is>
      </c>
      <c r="B161" t="inlineStr">
        <is>
          <t>avverkningsanmälan</t>
        </is>
      </c>
      <c r="C161" t="inlineStr">
        <is>
          <t>Föryngringsavverkning</t>
        </is>
      </c>
      <c r="D161" s="1" t="n">
        <v>45540</v>
      </c>
      <c r="E161" s="1" t="n">
        <v>46216</v>
      </c>
      <c r="F161" t="inlineStr">
        <is>
          <t>KALMAR LÄN</t>
        </is>
      </c>
      <c r="G161" t="inlineStr">
        <is>
          <t>MÖNSTERÅS</t>
        </is>
      </c>
      <c r="I161" t="n">
        <v>6</v>
      </c>
      <c r="J161" t="n">
        <v>0</v>
      </c>
      <c r="K161" t="n">
        <v>0</v>
      </c>
      <c r="L161" t="n">
        <v>0</v>
      </c>
      <c r="M161" t="n">
        <v>0</v>
      </c>
      <c r="N161" t="n">
        <v>0</v>
      </c>
      <c r="O161" t="n">
        <v>0</v>
      </c>
      <c r="P161" t="n">
        <v>0</v>
      </c>
      <c r="Q161" t="n">
        <v>0</v>
      </c>
      <c r="R161" t="n">
        <v>0</v>
      </c>
      <c r="S161" t="n">
        <v>0</v>
      </c>
      <c r="T161" t="n">
        <v>0</v>
      </c>
      <c r="U161" s="2" t="inlineStr"/>
    </row>
    <row r="162" ht="15" customHeight="1">
      <c r="A162" t="inlineStr">
        <is>
          <t>A 37180-2024</t>
        </is>
      </c>
      <c r="B162" t="inlineStr">
        <is>
          <t>avverkningsanmälan</t>
        </is>
      </c>
      <c r="C162" t="inlineStr">
        <is>
          <t>Föryngringsavverkning</t>
        </is>
      </c>
      <c r="D162" s="1" t="n">
        <v>45539</v>
      </c>
      <c r="E162" s="1" t="n">
        <v>46216</v>
      </c>
      <c r="F162" t="inlineStr">
        <is>
          <t>KALMAR LÄN</t>
        </is>
      </c>
      <c r="G162" t="inlineStr">
        <is>
          <t>MÖNSTERÅS</t>
        </is>
      </c>
      <c r="I162" t="n">
        <v>7.5</v>
      </c>
      <c r="J162" t="n">
        <v>0</v>
      </c>
      <c r="K162" t="n">
        <v>0</v>
      </c>
      <c r="L162" t="n">
        <v>0</v>
      </c>
      <c r="M162" t="n">
        <v>0</v>
      </c>
      <c r="N162" t="n">
        <v>0</v>
      </c>
      <c r="O162" t="n">
        <v>0</v>
      </c>
      <c r="P162" t="n">
        <v>0</v>
      </c>
      <c r="Q162" t="n">
        <v>0</v>
      </c>
      <c r="R162" t="n">
        <v>0</v>
      </c>
      <c r="S162" t="n">
        <v>0</v>
      </c>
      <c r="T162" t="n">
        <v>0</v>
      </c>
      <c r="U162" s="2" t="inlineStr"/>
    </row>
    <row r="163" ht="15" customHeight="1">
      <c r="A163" t="inlineStr">
        <is>
          <t>A 37245-2024</t>
        </is>
      </c>
      <c r="B163" t="inlineStr">
        <is>
          <t>avverkningsanmälan</t>
        </is>
      </c>
      <c r="C163" t="inlineStr">
        <is>
          <t>Föryngringsavverkning</t>
        </is>
      </c>
      <c r="D163" s="1" t="n">
        <v>45540</v>
      </c>
      <c r="E163" s="1" t="n">
        <v>46216</v>
      </c>
      <c r="F163" t="inlineStr">
        <is>
          <t>KALMAR LÄN</t>
        </is>
      </c>
      <c r="G163" t="inlineStr">
        <is>
          <t>MÖNSTERÅS</t>
        </is>
      </c>
      <c r="I163" t="n">
        <v>3.6</v>
      </c>
      <c r="J163" t="n">
        <v>0</v>
      </c>
      <c r="K163" t="n">
        <v>0</v>
      </c>
      <c r="L163" t="n">
        <v>0</v>
      </c>
      <c r="M163" t="n">
        <v>0</v>
      </c>
      <c r="N163" t="n">
        <v>0</v>
      </c>
      <c r="O163" t="n">
        <v>0</v>
      </c>
      <c r="P163" t="n">
        <v>0</v>
      </c>
      <c r="Q163" t="n">
        <v>0</v>
      </c>
      <c r="R163" t="n">
        <v>0</v>
      </c>
      <c r="S163" t="n">
        <v>0</v>
      </c>
      <c r="T163" t="n">
        <v>0</v>
      </c>
      <c r="U163" s="2" t="inlineStr"/>
    </row>
    <row r="164" ht="15" customHeight="1">
      <c r="A164" t="inlineStr">
        <is>
          <t>A 8468-2024</t>
        </is>
      </c>
      <c r="B164" t="inlineStr">
        <is>
          <t>avverkningsanmälan</t>
        </is>
      </c>
      <c r="C164" t="inlineStr">
        <is>
          <t>Föryngringsavverkning</t>
        </is>
      </c>
      <c r="D164" s="1" t="n">
        <v>45355</v>
      </c>
      <c r="E164" s="1" t="n">
        <v>46216</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62276-2022</t>
        </is>
      </c>
      <c r="B165" t="inlineStr">
        <is>
          <t>avverkningsanmälan</t>
        </is>
      </c>
      <c r="C165" t="inlineStr">
        <is>
          <t>Föryngringsavverkning</t>
        </is>
      </c>
      <c r="D165" s="1" t="n">
        <v>44923</v>
      </c>
      <c r="E165" s="1" t="n">
        <v>46216</v>
      </c>
      <c r="F165" t="inlineStr">
        <is>
          <t>KALMAR LÄN</t>
        </is>
      </c>
      <c r="G165" t="inlineStr">
        <is>
          <t>MÖNSTERÅS</t>
        </is>
      </c>
      <c r="I165" t="n">
        <v>4.1</v>
      </c>
      <c r="J165" t="n">
        <v>0</v>
      </c>
      <c r="K165" t="n">
        <v>0</v>
      </c>
      <c r="L165" t="n">
        <v>0</v>
      </c>
      <c r="M165" t="n">
        <v>0</v>
      </c>
      <c r="N165" t="n">
        <v>0</v>
      </c>
      <c r="O165" t="n">
        <v>0</v>
      </c>
      <c r="P165" t="n">
        <v>0</v>
      </c>
      <c r="Q165" t="n">
        <v>0</v>
      </c>
      <c r="R165" t="n">
        <v>0</v>
      </c>
      <c r="S165" t="n">
        <v>0</v>
      </c>
      <c r="T165" t="n">
        <v>0</v>
      </c>
      <c r="U165" s="2" t="inlineStr"/>
    </row>
    <row r="166" ht="15" customHeight="1">
      <c r="A166" t="inlineStr">
        <is>
          <t>A 36286-2022</t>
        </is>
      </c>
      <c r="B166" t="inlineStr">
        <is>
          <t>avverkningsanmälan</t>
        </is>
      </c>
      <c r="C166" t="inlineStr">
        <is>
          <t>Föryngringsavverkning</t>
        </is>
      </c>
      <c r="D166" s="1" t="n">
        <v>44803</v>
      </c>
      <c r="E166" s="1" t="n">
        <v>46216</v>
      </c>
      <c r="F166" t="inlineStr">
        <is>
          <t>KALMAR LÄN</t>
        </is>
      </c>
      <c r="G166" t="inlineStr">
        <is>
          <t>MÖNSTERÅS</t>
        </is>
      </c>
      <c r="H166" t="inlineStr">
        <is>
          <t>Övriga Aktiebolag</t>
        </is>
      </c>
      <c r="I166" t="n">
        <v>4.3</v>
      </c>
      <c r="J166" t="n">
        <v>0</v>
      </c>
      <c r="K166" t="n">
        <v>0</v>
      </c>
      <c r="L166" t="n">
        <v>0</v>
      </c>
      <c r="M166" t="n">
        <v>0</v>
      </c>
      <c r="N166" t="n">
        <v>0</v>
      </c>
      <c r="O166" t="n">
        <v>0</v>
      </c>
      <c r="P166" t="n">
        <v>0</v>
      </c>
      <c r="Q166" t="n">
        <v>0</v>
      </c>
      <c r="R166" t="n">
        <v>0</v>
      </c>
      <c r="S166" t="n">
        <v>0</v>
      </c>
      <c r="T166" t="n">
        <v>0</v>
      </c>
      <c r="U166" s="2" t="inlineStr"/>
    </row>
    <row r="167" ht="15" customHeight="1">
      <c r="A167" t="inlineStr">
        <is>
          <t>A 50298-2023</t>
        </is>
      </c>
      <c r="B167" t="inlineStr">
        <is>
          <t>avverkningsanmälan</t>
        </is>
      </c>
      <c r="C167" t="inlineStr">
        <is>
          <t>Föryngringsavverkning</t>
        </is>
      </c>
      <c r="D167" s="1" t="n">
        <v>45209</v>
      </c>
      <c r="E167" s="1" t="n">
        <v>46216</v>
      </c>
      <c r="F167" t="inlineStr">
        <is>
          <t>KALMAR LÄN</t>
        </is>
      </c>
      <c r="G167" t="inlineStr">
        <is>
          <t>MÖNSTERÅS</t>
        </is>
      </c>
      <c r="I167" t="n">
        <v>6.1</v>
      </c>
      <c r="J167" t="n">
        <v>0</v>
      </c>
      <c r="K167" t="n">
        <v>0</v>
      </c>
      <c r="L167" t="n">
        <v>0</v>
      </c>
      <c r="M167" t="n">
        <v>0</v>
      </c>
      <c r="N167" t="n">
        <v>0</v>
      </c>
      <c r="O167" t="n">
        <v>0</v>
      </c>
      <c r="P167" t="n">
        <v>0</v>
      </c>
      <c r="Q167" t="n">
        <v>0</v>
      </c>
      <c r="R167" t="n">
        <v>0</v>
      </c>
      <c r="S167" t="n">
        <v>0</v>
      </c>
      <c r="T167" t="n">
        <v>0</v>
      </c>
      <c r="U167" s="2" t="inlineStr"/>
    </row>
    <row r="168" ht="15" customHeight="1">
      <c r="A168" t="inlineStr">
        <is>
          <t>A 10398-2023</t>
        </is>
      </c>
      <c r="B168" t="inlineStr">
        <is>
          <t>avverkningsanmälan</t>
        </is>
      </c>
      <c r="C168" t="inlineStr">
        <is>
          <t>Föryngringsavverkning</t>
        </is>
      </c>
      <c r="D168" s="1" t="n">
        <v>44981</v>
      </c>
      <c r="E168" s="1" t="n">
        <v>46216</v>
      </c>
      <c r="F168" t="inlineStr">
        <is>
          <t>KALMAR LÄN</t>
        </is>
      </c>
      <c r="G168" t="inlineStr">
        <is>
          <t>MÖNSTERÅS</t>
        </is>
      </c>
      <c r="I168" t="n">
        <v>4.8</v>
      </c>
      <c r="J168" t="n">
        <v>0</v>
      </c>
      <c r="K168" t="n">
        <v>0</v>
      </c>
      <c r="L168" t="n">
        <v>0</v>
      </c>
      <c r="M168" t="n">
        <v>0</v>
      </c>
      <c r="N168" t="n">
        <v>0</v>
      </c>
      <c r="O168" t="n">
        <v>0</v>
      </c>
      <c r="P168" t="n">
        <v>0</v>
      </c>
      <c r="Q168" t="n">
        <v>0</v>
      </c>
      <c r="R168" t="n">
        <v>0</v>
      </c>
      <c r="S168" t="n">
        <v>0</v>
      </c>
      <c r="T168" t="n">
        <v>0</v>
      </c>
      <c r="U168" s="2" t="inlineStr"/>
    </row>
    <row r="169" ht="15" customHeight="1">
      <c r="A169" t="inlineStr">
        <is>
          <t>A 52649-2022</t>
        </is>
      </c>
      <c r="B169" t="inlineStr">
        <is>
          <t>avverkningsanmälan</t>
        </is>
      </c>
      <c r="C169" t="inlineStr">
        <is>
          <t>Föryngringsavverkning</t>
        </is>
      </c>
      <c r="D169" s="1" t="n">
        <v>44874</v>
      </c>
      <c r="E169" s="1" t="n">
        <v>46216</v>
      </c>
      <c r="F169" t="inlineStr">
        <is>
          <t>KALMAR LÄN</t>
        </is>
      </c>
      <c r="G169" t="inlineStr">
        <is>
          <t>MÖNSTERÅS</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43431-2024</t>
        </is>
      </c>
      <c r="B170" t="inlineStr">
        <is>
          <t>avverkningsanmälan</t>
        </is>
      </c>
      <c r="C170" t="inlineStr">
        <is>
          <t>Föryngringsavverkning</t>
        </is>
      </c>
      <c r="D170" s="1" t="n">
        <v>45568</v>
      </c>
      <c r="E170" s="1" t="n">
        <v>46216</v>
      </c>
      <c r="F170" t="inlineStr">
        <is>
          <t>KALMAR LÄN</t>
        </is>
      </c>
      <c r="G170" t="inlineStr">
        <is>
          <t>MÖNSTERÅS</t>
        </is>
      </c>
      <c r="H170" t="inlineStr">
        <is>
          <t>Övriga Aktiebolag</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6934-2025</t>
        </is>
      </c>
      <c r="B171" t="inlineStr">
        <is>
          <t>avverkningsanmälan</t>
        </is>
      </c>
      <c r="C171" t="inlineStr">
        <is>
          <t>Föryngringsavverkning</t>
        </is>
      </c>
      <c r="D171" s="1" t="n">
        <v>45701</v>
      </c>
      <c r="E171" s="1" t="n">
        <v>46216</v>
      </c>
      <c r="F171" t="inlineStr">
        <is>
          <t>KALMAR LÄN</t>
        </is>
      </c>
      <c r="G171" t="inlineStr">
        <is>
          <t>MÖNSTERÅS</t>
        </is>
      </c>
      <c r="I171" t="n">
        <v>4.2</v>
      </c>
      <c r="J171" t="n">
        <v>0</v>
      </c>
      <c r="K171" t="n">
        <v>0</v>
      </c>
      <c r="L171" t="n">
        <v>0</v>
      </c>
      <c r="M171" t="n">
        <v>0</v>
      </c>
      <c r="N171" t="n">
        <v>0</v>
      </c>
      <c r="O171" t="n">
        <v>0</v>
      </c>
      <c r="P171" t="n">
        <v>0</v>
      </c>
      <c r="Q171" t="n">
        <v>0</v>
      </c>
      <c r="R171" t="n">
        <v>0</v>
      </c>
      <c r="S171" t="n">
        <v>0</v>
      </c>
      <c r="T171" t="n">
        <v>0</v>
      </c>
      <c r="U171" s="2" t="inlineStr"/>
    </row>
    <row r="172" ht="15" customHeight="1">
      <c r="A172" t="inlineStr">
        <is>
          <t>A 21567-2024</t>
        </is>
      </c>
      <c r="B172" t="inlineStr">
        <is>
          <t>avverkningsanmälan</t>
        </is>
      </c>
      <c r="C172" t="inlineStr">
        <is>
          <t>Föryngringsavverkning</t>
        </is>
      </c>
      <c r="D172" s="1" t="n">
        <v>45441</v>
      </c>
      <c r="E172" s="1" t="n">
        <v>46216</v>
      </c>
      <c r="F172" t="inlineStr">
        <is>
          <t>KALMAR LÄN</t>
        </is>
      </c>
      <c r="G172" t="inlineStr">
        <is>
          <t>MÖNSTERÅS</t>
        </is>
      </c>
      <c r="I172" t="n">
        <v>3.5</v>
      </c>
      <c r="J172" t="n">
        <v>0</v>
      </c>
      <c r="K172" t="n">
        <v>0</v>
      </c>
      <c r="L172" t="n">
        <v>0</v>
      </c>
      <c r="M172" t="n">
        <v>0</v>
      </c>
      <c r="N172" t="n">
        <v>0</v>
      </c>
      <c r="O172" t="n">
        <v>0</v>
      </c>
      <c r="P172" t="n">
        <v>0</v>
      </c>
      <c r="Q172" t="n">
        <v>0</v>
      </c>
      <c r="R172" t="n">
        <v>0</v>
      </c>
      <c r="S172" t="n">
        <v>0</v>
      </c>
      <c r="T172" t="n">
        <v>0</v>
      </c>
      <c r="U172" s="2" t="inlineStr"/>
    </row>
    <row r="173" ht="15" customHeight="1">
      <c r="A173" t="inlineStr">
        <is>
          <t>A 26145-2025</t>
        </is>
      </c>
      <c r="B173" t="inlineStr">
        <is>
          <t>avverkningsanmälan</t>
        </is>
      </c>
      <c r="C173" t="inlineStr">
        <is>
          <t>Föryngringsavverkning</t>
        </is>
      </c>
      <c r="D173" s="1" t="n">
        <v>45805</v>
      </c>
      <c r="E173" s="1" t="n">
        <v>46216</v>
      </c>
      <c r="F173" t="inlineStr">
        <is>
          <t>KALMAR LÄN</t>
        </is>
      </c>
      <c r="G173" t="inlineStr">
        <is>
          <t>MÖNSTERÅS</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26157-2025</t>
        </is>
      </c>
      <c r="B174" t="inlineStr">
        <is>
          <t>avverkningsanmälan</t>
        </is>
      </c>
      <c r="C174" t="inlineStr">
        <is>
          <t>Föryngringsavverkning</t>
        </is>
      </c>
      <c r="D174" s="1" t="n">
        <v>45805</v>
      </c>
      <c r="E174" s="1" t="n">
        <v>46216</v>
      </c>
      <c r="F174" t="inlineStr">
        <is>
          <t>KALMAR LÄN</t>
        </is>
      </c>
      <c r="G174" t="inlineStr">
        <is>
          <t>MÖNSTERÅS</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64514-2021</t>
        </is>
      </c>
      <c r="B175" t="inlineStr">
        <is>
          <t>avverkningsanmälan</t>
        </is>
      </c>
      <c r="C175" t="inlineStr">
        <is>
          <t>Föryngringsavverkning</t>
        </is>
      </c>
      <c r="D175" s="1" t="n">
        <v>44511</v>
      </c>
      <c r="E175" s="1" t="n">
        <v>46216</v>
      </c>
      <c r="F175" t="inlineStr">
        <is>
          <t>KALMAR LÄN</t>
        </is>
      </c>
      <c r="G175" t="inlineStr">
        <is>
          <t>MÖNSTERÅS</t>
        </is>
      </c>
      <c r="I175" t="n">
        <v>5.6</v>
      </c>
      <c r="J175" t="n">
        <v>0</v>
      </c>
      <c r="K175" t="n">
        <v>0</v>
      </c>
      <c r="L175" t="n">
        <v>0</v>
      </c>
      <c r="M175" t="n">
        <v>0</v>
      </c>
      <c r="N175" t="n">
        <v>0</v>
      </c>
      <c r="O175" t="n">
        <v>0</v>
      </c>
      <c r="P175" t="n">
        <v>0</v>
      </c>
      <c r="Q175" t="n">
        <v>0</v>
      </c>
      <c r="R175" t="n">
        <v>0</v>
      </c>
      <c r="S175" t="n">
        <v>0</v>
      </c>
      <c r="T175" t="n">
        <v>0</v>
      </c>
      <c r="U175" s="2" t="inlineStr"/>
    </row>
    <row r="176" ht="15" customHeight="1">
      <c r="A176" t="inlineStr">
        <is>
          <t>A 62218-2022</t>
        </is>
      </c>
      <c r="B176" t="inlineStr">
        <is>
          <t>avverkningsanmälan</t>
        </is>
      </c>
      <c r="C176" t="inlineStr">
        <is>
          <t>Föryngringsavverkning</t>
        </is>
      </c>
      <c r="D176" s="1" t="n">
        <v>44922</v>
      </c>
      <c r="E176" s="1" t="n">
        <v>46216</v>
      </c>
      <c r="F176" t="inlineStr">
        <is>
          <t>KALMAR LÄN</t>
        </is>
      </c>
      <c r="G176" t="inlineStr">
        <is>
          <t>MÖNSTERÅS</t>
        </is>
      </c>
      <c r="I176" t="n">
        <v>6.9</v>
      </c>
      <c r="J176" t="n">
        <v>0</v>
      </c>
      <c r="K176" t="n">
        <v>0</v>
      </c>
      <c r="L176" t="n">
        <v>0</v>
      </c>
      <c r="M176" t="n">
        <v>0</v>
      </c>
      <c r="N176" t="n">
        <v>0</v>
      </c>
      <c r="O176" t="n">
        <v>0</v>
      </c>
      <c r="P176" t="n">
        <v>0</v>
      </c>
      <c r="Q176" t="n">
        <v>0</v>
      </c>
      <c r="R176" t="n">
        <v>0</v>
      </c>
      <c r="S176" t="n">
        <v>0</v>
      </c>
      <c r="T176" t="n">
        <v>0</v>
      </c>
      <c r="U176" s="2" t="inlineStr"/>
    </row>
    <row r="177" ht="15" customHeight="1">
      <c r="A177" t="inlineStr">
        <is>
          <t>A 214-2023</t>
        </is>
      </c>
      <c r="B177" t="inlineStr">
        <is>
          <t>avverkningsanmälan</t>
        </is>
      </c>
      <c r="C177" t="inlineStr">
        <is>
          <t>Föryngringsavverkning</t>
        </is>
      </c>
      <c r="D177" s="1" t="n">
        <v>44928</v>
      </c>
      <c r="E177" s="1" t="n">
        <v>46216</v>
      </c>
      <c r="F177" t="inlineStr">
        <is>
          <t>KALMAR LÄN</t>
        </is>
      </c>
      <c r="G177" t="inlineStr">
        <is>
          <t>MÖNSTERÅS</t>
        </is>
      </c>
      <c r="I177" t="n">
        <v>5.5</v>
      </c>
      <c r="J177" t="n">
        <v>0</v>
      </c>
      <c r="K177" t="n">
        <v>0</v>
      </c>
      <c r="L177" t="n">
        <v>0</v>
      </c>
      <c r="M177" t="n">
        <v>0</v>
      </c>
      <c r="N177" t="n">
        <v>0</v>
      </c>
      <c r="O177" t="n">
        <v>0</v>
      </c>
      <c r="P177" t="n">
        <v>0</v>
      </c>
      <c r="Q177" t="n">
        <v>0</v>
      </c>
      <c r="R177" t="n">
        <v>0</v>
      </c>
      <c r="S177" t="n">
        <v>0</v>
      </c>
      <c r="T177" t="n">
        <v>0</v>
      </c>
      <c r="U177" s="2" t="inlineStr"/>
    </row>
    <row r="178" ht="15" customHeight="1">
      <c r="A178" t="inlineStr">
        <is>
          <t>A 37096-2022</t>
        </is>
      </c>
      <c r="B178" t="inlineStr">
        <is>
          <t>avverkningsanmälan</t>
        </is>
      </c>
      <c r="C178" t="inlineStr">
        <is>
          <t>Föryngringsavverkning</t>
        </is>
      </c>
      <c r="D178" s="1" t="n">
        <v>44806</v>
      </c>
      <c r="E178" s="1" t="n">
        <v>46216</v>
      </c>
      <c r="F178" t="inlineStr">
        <is>
          <t>KALMAR LÄN</t>
        </is>
      </c>
      <c r="G178" t="inlineStr">
        <is>
          <t>MÖNSTERÅS</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28380-2024</t>
        </is>
      </c>
      <c r="B179" t="inlineStr">
        <is>
          <t>avverkningsanmälan</t>
        </is>
      </c>
      <c r="C179" t="inlineStr">
        <is>
          <t>Föryngringsavverkning</t>
        </is>
      </c>
      <c r="D179" s="1" t="n">
        <v>45477</v>
      </c>
      <c r="E179" s="1" t="n">
        <v>46216</v>
      </c>
      <c r="F179" t="inlineStr">
        <is>
          <t>KALMAR LÄN</t>
        </is>
      </c>
      <c r="G179" t="inlineStr">
        <is>
          <t>MÖNSTERÅS</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38471-2023</t>
        </is>
      </c>
      <c r="B180" t="inlineStr">
        <is>
          <t>avverkningsanmälan</t>
        </is>
      </c>
      <c r="C180" t="inlineStr">
        <is>
          <t>Föryngringsavverkning</t>
        </is>
      </c>
      <c r="D180" s="1" t="n">
        <v>45162</v>
      </c>
      <c r="E180" s="1" t="n">
        <v>46216</v>
      </c>
      <c r="F180" t="inlineStr">
        <is>
          <t>KALMAR LÄN</t>
        </is>
      </c>
      <c r="G180" t="inlineStr">
        <is>
          <t>MÖNSTERÅS</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41880-2025</t>
        </is>
      </c>
      <c r="B181" t="inlineStr">
        <is>
          <t>avverkningsanmälan</t>
        </is>
      </c>
      <c r="C181" t="inlineStr">
        <is>
          <t>Föryngringsavverkning</t>
        </is>
      </c>
      <c r="D181" s="1" t="n">
        <v>45903</v>
      </c>
      <c r="E181" s="1" t="n">
        <v>46216</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42145-2025</t>
        </is>
      </c>
      <c r="B182" t="inlineStr">
        <is>
          <t>avverkningsanmälan</t>
        </is>
      </c>
      <c r="C182" t="inlineStr">
        <is>
          <t>Föryngringsavverkning</t>
        </is>
      </c>
      <c r="D182" s="1" t="n">
        <v>45904</v>
      </c>
      <c r="E182" s="1" t="n">
        <v>46216</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s="2" t="inlineStr"/>
    </row>
    <row r="183" ht="15" customHeight="1">
      <c r="A183" t="inlineStr">
        <is>
          <t>A 39212-2022</t>
        </is>
      </c>
      <c r="B183" t="inlineStr">
        <is>
          <t>avverkningsanmälan</t>
        </is>
      </c>
      <c r="C183" t="inlineStr">
        <is>
          <t>Föryngringsavverkning</t>
        </is>
      </c>
      <c r="D183" s="1" t="n">
        <v>44817</v>
      </c>
      <c r="E183" s="1" t="n">
        <v>46216</v>
      </c>
      <c r="F183" t="inlineStr">
        <is>
          <t>KALMAR LÄN</t>
        </is>
      </c>
      <c r="G183" t="inlineStr">
        <is>
          <t>MÖNSTERÅS</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8113-2023</t>
        </is>
      </c>
      <c r="B184" t="inlineStr">
        <is>
          <t>avverkningsanmälan</t>
        </is>
      </c>
      <c r="C184" t="inlineStr">
        <is>
          <t>Föryngringsavverkning</t>
        </is>
      </c>
      <c r="D184" s="1" t="n">
        <v>44974</v>
      </c>
      <c r="E184" s="1" t="n">
        <v>46216</v>
      </c>
      <c r="F184" t="inlineStr">
        <is>
          <t>KALMAR LÄN</t>
        </is>
      </c>
      <c r="G184" t="inlineStr">
        <is>
          <t>MÖNSTERÅS</t>
        </is>
      </c>
      <c r="H184" t="inlineStr">
        <is>
          <t>Övriga Aktiebolag</t>
        </is>
      </c>
      <c r="I184" t="n">
        <v>8.5</v>
      </c>
      <c r="J184" t="n">
        <v>0</v>
      </c>
      <c r="K184" t="n">
        <v>0</v>
      </c>
      <c r="L184" t="n">
        <v>0</v>
      </c>
      <c r="M184" t="n">
        <v>0</v>
      </c>
      <c r="N184" t="n">
        <v>0</v>
      </c>
      <c r="O184" t="n">
        <v>0</v>
      </c>
      <c r="P184" t="n">
        <v>0</v>
      </c>
      <c r="Q184" t="n">
        <v>0</v>
      </c>
      <c r="R184" t="n">
        <v>0</v>
      </c>
      <c r="S184" t="n">
        <v>0</v>
      </c>
      <c r="T184" t="n">
        <v>0</v>
      </c>
      <c r="U184" s="2" t="inlineStr"/>
    </row>
    <row r="185" ht="15" customHeight="1">
      <c r="A185" t="inlineStr">
        <is>
          <t>A 14936-2023</t>
        </is>
      </c>
      <c r="B185" t="inlineStr">
        <is>
          <t>avverkningsanmälan</t>
        </is>
      </c>
      <c r="C185" t="inlineStr">
        <is>
          <t>Föryngringsavverkning</t>
        </is>
      </c>
      <c r="D185" s="1" t="n">
        <v>45015</v>
      </c>
      <c r="E185" s="1" t="n">
        <v>46216</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13902-2023</t>
        </is>
      </c>
      <c r="B186" t="inlineStr">
        <is>
          <t>avverkningsanmälan</t>
        </is>
      </c>
      <c r="C186" t="inlineStr">
        <is>
          <t>Föryngringsavverkning</t>
        </is>
      </c>
      <c r="D186" s="1" t="n">
        <v>45008</v>
      </c>
      <c r="E186" s="1" t="n">
        <v>46216</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27629-2023</t>
        </is>
      </c>
      <c r="B187" t="inlineStr">
        <is>
          <t>avverkningsanmälan</t>
        </is>
      </c>
      <c r="C187" t="inlineStr">
        <is>
          <t>Föryngringsavverkning</t>
        </is>
      </c>
      <c r="D187" s="1" t="n">
        <v>45097</v>
      </c>
      <c r="E187" s="1" t="n">
        <v>46216</v>
      </c>
      <c r="F187" t="inlineStr">
        <is>
          <t>KALMAR LÄN</t>
        </is>
      </c>
      <c r="G187" t="inlineStr">
        <is>
          <t>MÖNSTERÅS</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63469-2023</t>
        </is>
      </c>
      <c r="B188" t="inlineStr">
        <is>
          <t>avverkningsanmälan</t>
        </is>
      </c>
      <c r="C188" t="inlineStr">
        <is>
          <t>Föryngringsavverkning</t>
        </is>
      </c>
      <c r="D188" s="1" t="n">
        <v>45274</v>
      </c>
      <c r="E188" s="1" t="n">
        <v>46216</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33111-2025</t>
        </is>
      </c>
      <c r="B189" t="inlineStr">
        <is>
          <t>avverkningsanmälan</t>
        </is>
      </c>
      <c r="C189" t="inlineStr">
        <is>
          <t>Föryngringsavverkning</t>
        </is>
      </c>
      <c r="D189" s="1" t="n">
        <v>45840</v>
      </c>
      <c r="E189" s="1" t="n">
        <v>46216</v>
      </c>
      <c r="F189" t="inlineStr">
        <is>
          <t>KALMAR LÄN</t>
        </is>
      </c>
      <c r="G189" t="inlineStr">
        <is>
          <t>MÖNSTERÅS</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38579-2022</t>
        </is>
      </c>
      <c r="B190" t="inlineStr">
        <is>
          <t>avverkningsanmälan</t>
        </is>
      </c>
      <c r="C190" t="inlineStr">
        <is>
          <t>Föryngringsavverkning</t>
        </is>
      </c>
      <c r="D190" s="1" t="n">
        <v>44813</v>
      </c>
      <c r="E190" s="1" t="n">
        <v>46216</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18732-2025</t>
        </is>
      </c>
      <c r="B191" t="inlineStr">
        <is>
          <t>avverkningsanmälan</t>
        </is>
      </c>
      <c r="C191" t="inlineStr">
        <is>
          <t>Föryngringsavverkning</t>
        </is>
      </c>
      <c r="D191" s="1" t="n">
        <v>45763</v>
      </c>
      <c r="E191" s="1" t="n">
        <v>46216</v>
      </c>
      <c r="F191" t="inlineStr">
        <is>
          <t>KALMAR LÄN</t>
        </is>
      </c>
      <c r="G191" t="inlineStr">
        <is>
          <t>MÖNSTERÅS</t>
        </is>
      </c>
      <c r="I191" t="n">
        <v>4.9</v>
      </c>
      <c r="J191" t="n">
        <v>0</v>
      </c>
      <c r="K191" t="n">
        <v>0</v>
      </c>
      <c r="L191" t="n">
        <v>0</v>
      </c>
      <c r="M191" t="n">
        <v>0</v>
      </c>
      <c r="N191" t="n">
        <v>0</v>
      </c>
      <c r="O191" t="n">
        <v>0</v>
      </c>
      <c r="P191" t="n">
        <v>0</v>
      </c>
      <c r="Q191" t="n">
        <v>0</v>
      </c>
      <c r="R191" t="n">
        <v>0</v>
      </c>
      <c r="S191" t="n">
        <v>0</v>
      </c>
      <c r="T191" t="n">
        <v>0</v>
      </c>
      <c r="U191" s="2" t="inlineStr"/>
    </row>
    <row r="192" ht="15" customHeight="1">
      <c r="A192" t="inlineStr">
        <is>
          <t>A 22393-2025</t>
        </is>
      </c>
      <c r="B192" t="inlineStr">
        <is>
          <t>avverkningsanmälan</t>
        </is>
      </c>
      <c r="C192" t="inlineStr">
        <is>
          <t>Föryngringsavverkning</t>
        </is>
      </c>
      <c r="D192" s="1" t="n">
        <v>45786</v>
      </c>
      <c r="E192" s="1" t="n">
        <v>46216</v>
      </c>
      <c r="F192" t="inlineStr">
        <is>
          <t>KALMAR LÄN</t>
        </is>
      </c>
      <c r="G192" t="inlineStr">
        <is>
          <t>MÖNSTERÅS</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10111-2024</t>
        </is>
      </c>
      <c r="B193" t="inlineStr">
        <is>
          <t>avverkningsanmälan</t>
        </is>
      </c>
      <c r="C193" t="inlineStr">
        <is>
          <t>Avverkning för annat ändamål</t>
        </is>
      </c>
      <c r="D193" s="1" t="n">
        <v>45364</v>
      </c>
      <c r="E193" s="1" t="n">
        <v>46216</v>
      </c>
      <c r="F193" t="inlineStr">
        <is>
          <t>KALMAR LÄN</t>
        </is>
      </c>
      <c r="G193" t="inlineStr">
        <is>
          <t>MÖNSTERÅS</t>
        </is>
      </c>
      <c r="I193" t="n">
        <v>5.2</v>
      </c>
      <c r="J193" t="n">
        <v>0</v>
      </c>
      <c r="K193" t="n">
        <v>0</v>
      </c>
      <c r="L193" t="n">
        <v>0</v>
      </c>
      <c r="M193" t="n">
        <v>0</v>
      </c>
      <c r="N193" t="n">
        <v>0</v>
      </c>
      <c r="O193" t="n">
        <v>0</v>
      </c>
      <c r="P193" t="n">
        <v>0</v>
      </c>
      <c r="Q193" t="n">
        <v>0</v>
      </c>
      <c r="R193" t="n">
        <v>0</v>
      </c>
      <c r="S193" t="n">
        <v>0</v>
      </c>
      <c r="T193" t="n">
        <v>0</v>
      </c>
      <c r="U193" s="2" t="inlineStr"/>
    </row>
    <row r="194" ht="15" customHeight="1">
      <c r="A194" t="inlineStr">
        <is>
          <t>A 27610-2023</t>
        </is>
      </c>
      <c r="B194" t="inlineStr">
        <is>
          <t>avverkningsanmälan</t>
        </is>
      </c>
      <c r="C194" t="inlineStr">
        <is>
          <t>Föryngringsavverkning</t>
        </is>
      </c>
      <c r="D194" s="1" t="n">
        <v>45097</v>
      </c>
      <c r="E194" s="1" t="n">
        <v>46216</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39262-2022</t>
        </is>
      </c>
      <c r="B195" t="inlineStr">
        <is>
          <t>avverkningsanmälan</t>
        </is>
      </c>
      <c r="C195" t="inlineStr">
        <is>
          <t>Föryngringsavverkning</t>
        </is>
      </c>
      <c r="D195" s="1" t="n">
        <v>44817</v>
      </c>
      <c r="E195" s="1" t="n">
        <v>46216</v>
      </c>
      <c r="F195" t="inlineStr">
        <is>
          <t>KALMAR LÄN</t>
        </is>
      </c>
      <c r="G195" t="inlineStr">
        <is>
          <t>MÖNSTERÅS</t>
        </is>
      </c>
      <c r="H195" t="inlineStr">
        <is>
          <t>Kommuner</t>
        </is>
      </c>
      <c r="I195" t="n">
        <v>2.4</v>
      </c>
      <c r="J195" t="n">
        <v>0</v>
      </c>
      <c r="K195" t="n">
        <v>0</v>
      </c>
      <c r="L195" t="n">
        <v>0</v>
      </c>
      <c r="M195" t="n">
        <v>0</v>
      </c>
      <c r="N195" t="n">
        <v>0</v>
      </c>
      <c r="O195" t="n">
        <v>0</v>
      </c>
      <c r="P195" t="n">
        <v>0</v>
      </c>
      <c r="Q195" t="n">
        <v>0</v>
      </c>
      <c r="R195" t="n">
        <v>0</v>
      </c>
      <c r="S195" t="n">
        <v>0</v>
      </c>
      <c r="T195" t="n">
        <v>0</v>
      </c>
      <c r="U195" s="2" t="inlineStr"/>
    </row>
    <row r="196" ht="15" customHeight="1">
      <c r="A196" t="inlineStr">
        <is>
          <t>A 12461-2022</t>
        </is>
      </c>
      <c r="B196" t="inlineStr">
        <is>
          <t>avverkningsanmälan</t>
        </is>
      </c>
      <c r="C196" t="inlineStr">
        <is>
          <t>Föryngringsavverkning</t>
        </is>
      </c>
      <c r="D196" s="1" t="n">
        <v>44638</v>
      </c>
      <c r="E196" s="1" t="n">
        <v>46216</v>
      </c>
      <c r="F196" t="inlineStr">
        <is>
          <t>KALMAR LÄN</t>
        </is>
      </c>
      <c r="G196" t="inlineStr">
        <is>
          <t>MÖNSTERÅS</t>
        </is>
      </c>
      <c r="I196" t="n">
        <v>7</v>
      </c>
      <c r="J196" t="n">
        <v>0</v>
      </c>
      <c r="K196" t="n">
        <v>0</v>
      </c>
      <c r="L196" t="n">
        <v>0</v>
      </c>
      <c r="M196" t="n">
        <v>0</v>
      </c>
      <c r="N196" t="n">
        <v>0</v>
      </c>
      <c r="O196" t="n">
        <v>0</v>
      </c>
      <c r="P196" t="n">
        <v>0</v>
      </c>
      <c r="Q196" t="n">
        <v>0</v>
      </c>
      <c r="R196" t="n">
        <v>0</v>
      </c>
      <c r="S196" t="n">
        <v>0</v>
      </c>
      <c r="T196" t="n">
        <v>0</v>
      </c>
      <c r="U196" s="2" t="inlineStr"/>
    </row>
    <row r="197" ht="15" customHeight="1">
      <c r="A197" t="inlineStr">
        <is>
          <t>A 63454-2023</t>
        </is>
      </c>
      <c r="B197" t="inlineStr">
        <is>
          <t>avverkningsanmälan</t>
        </is>
      </c>
      <c r="C197" t="inlineStr">
        <is>
          <t>Föryngringsavverkning</t>
        </is>
      </c>
      <c r="D197" s="1" t="n">
        <v>45274</v>
      </c>
      <c r="E197" s="1" t="n">
        <v>46216</v>
      </c>
      <c r="F197" t="inlineStr">
        <is>
          <t>KALMAR LÄN</t>
        </is>
      </c>
      <c r="G197" t="inlineStr">
        <is>
          <t>MÖNSTERÅS</t>
        </is>
      </c>
      <c r="I197" t="n">
        <v>3</v>
      </c>
      <c r="J197" t="n">
        <v>0</v>
      </c>
      <c r="K197" t="n">
        <v>0</v>
      </c>
      <c r="L197" t="n">
        <v>0</v>
      </c>
      <c r="M197" t="n">
        <v>0</v>
      </c>
      <c r="N197" t="n">
        <v>0</v>
      </c>
      <c r="O197" t="n">
        <v>0</v>
      </c>
      <c r="P197" t="n">
        <v>0</v>
      </c>
      <c r="Q197" t="n">
        <v>0</v>
      </c>
      <c r="R197" t="n">
        <v>0</v>
      </c>
      <c r="S197" t="n">
        <v>0</v>
      </c>
      <c r="T197" t="n">
        <v>0</v>
      </c>
      <c r="U197" s="2" t="inlineStr"/>
    </row>
    <row r="198" ht="15" customHeight="1">
      <c r="A198" t="inlineStr">
        <is>
          <t>A 38858-2021</t>
        </is>
      </c>
      <c r="B198" t="inlineStr">
        <is>
          <t>avverkningsanmälan</t>
        </is>
      </c>
      <c r="C198" t="inlineStr">
        <is>
          <t>Föryngringsavverkning</t>
        </is>
      </c>
      <c r="D198" s="1" t="n">
        <v>44411</v>
      </c>
      <c r="E198" s="1" t="n">
        <v>46216</v>
      </c>
      <c r="F198" t="inlineStr">
        <is>
          <t>KALMAR LÄN</t>
        </is>
      </c>
      <c r="G198" t="inlineStr">
        <is>
          <t>MÖNSTERÅS</t>
        </is>
      </c>
      <c r="I198" t="n">
        <v>5.7</v>
      </c>
      <c r="J198" t="n">
        <v>0</v>
      </c>
      <c r="K198" t="n">
        <v>0</v>
      </c>
      <c r="L198" t="n">
        <v>0</v>
      </c>
      <c r="M198" t="n">
        <v>0</v>
      </c>
      <c r="N198" t="n">
        <v>0</v>
      </c>
      <c r="O198" t="n">
        <v>0</v>
      </c>
      <c r="P198" t="n">
        <v>0</v>
      </c>
      <c r="Q198" t="n">
        <v>0</v>
      </c>
      <c r="R198" t="n">
        <v>0</v>
      </c>
      <c r="S198" t="n">
        <v>0</v>
      </c>
      <c r="T198" t="n">
        <v>0</v>
      </c>
      <c r="U198" s="2" t="inlineStr"/>
    </row>
    <row r="199" ht="15" customHeight="1">
      <c r="A199" t="inlineStr">
        <is>
          <t>A 37298-2025</t>
        </is>
      </c>
      <c r="B199" t="inlineStr">
        <is>
          <t>avverkningsanmälan</t>
        </is>
      </c>
      <c r="C199" t="inlineStr">
        <is>
          <t>Föryngringsavverkning</t>
        </is>
      </c>
      <c r="D199" s="1" t="n">
        <v>45876</v>
      </c>
      <c r="E199" s="1" t="n">
        <v>46216</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61874-2022</t>
        </is>
      </c>
      <c r="B200" t="inlineStr">
        <is>
          <t>avverkningsanmälan</t>
        </is>
      </c>
      <c r="C200" t="inlineStr">
        <is>
          <t>Föryngringsavverkning</t>
        </is>
      </c>
      <c r="D200" s="1" t="n">
        <v>44917</v>
      </c>
      <c r="E200" s="1" t="n">
        <v>46216</v>
      </c>
      <c r="F200" t="inlineStr">
        <is>
          <t>KALMAR LÄN</t>
        </is>
      </c>
      <c r="G200" t="inlineStr">
        <is>
          <t>MÖNSTERÅS</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3780-2026</t>
        </is>
      </c>
      <c r="B201" t="inlineStr">
        <is>
          <t>avverkningsanmälan</t>
        </is>
      </c>
      <c r="C201" t="inlineStr">
        <is>
          <t>Föryngringsavverkning</t>
        </is>
      </c>
      <c r="D201" s="1" t="n">
        <v>46043</v>
      </c>
      <c r="E201" s="1" t="n">
        <v>46216</v>
      </c>
      <c r="F201" t="inlineStr">
        <is>
          <t>KALMAR LÄN</t>
        </is>
      </c>
      <c r="G201" t="inlineStr">
        <is>
          <t>MÖNSTERÅS</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26279-2023</t>
        </is>
      </c>
      <c r="B202" t="inlineStr">
        <is>
          <t>avverkningsanmälan</t>
        </is>
      </c>
      <c r="C202" t="inlineStr">
        <is>
          <t>Föryngringsavverkning</t>
        </is>
      </c>
      <c r="D202" s="1" t="n">
        <v>45091</v>
      </c>
      <c r="E202" s="1" t="n">
        <v>46216</v>
      </c>
      <c r="F202" t="inlineStr">
        <is>
          <t>KALMAR LÄN</t>
        </is>
      </c>
      <c r="G202" t="inlineStr">
        <is>
          <t>MÖNSTERÅS</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49498-2021</t>
        </is>
      </c>
      <c r="B203" t="inlineStr">
        <is>
          <t>avverkningsanmälan</t>
        </is>
      </c>
      <c r="C203" t="inlineStr">
        <is>
          <t>Föryngringsavverkning</t>
        </is>
      </c>
      <c r="D203" s="1" t="n">
        <v>44455</v>
      </c>
      <c r="E203" s="1" t="n">
        <v>46216</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58980-2025</t>
        </is>
      </c>
      <c r="B204" t="inlineStr">
        <is>
          <t>avverkningsanmälan</t>
        </is>
      </c>
      <c r="C204" t="inlineStr">
        <is>
          <t>Avverkning för annat ändamål</t>
        </is>
      </c>
      <c r="D204" s="1" t="n">
        <v>45987</v>
      </c>
      <c r="E204" s="1" t="n">
        <v>46216</v>
      </c>
      <c r="F204" t="inlineStr">
        <is>
          <t>KALMAR LÄN</t>
        </is>
      </c>
      <c r="G204" t="inlineStr">
        <is>
          <t>MÖNSTERÅS</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50071-2022</t>
        </is>
      </c>
      <c r="B205" t="inlineStr">
        <is>
          <t>avverkningsanmälan</t>
        </is>
      </c>
      <c r="C205" t="inlineStr">
        <is>
          <t>Föryngringsavverkning</t>
        </is>
      </c>
      <c r="D205" s="1" t="n">
        <v>44865</v>
      </c>
      <c r="E205" s="1" t="n">
        <v>46216</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3789-2026</t>
        </is>
      </c>
      <c r="B206" t="inlineStr">
        <is>
          <t>avverkningsanmälan</t>
        </is>
      </c>
      <c r="C206" t="inlineStr">
        <is>
          <t>Föryngringsavverkning</t>
        </is>
      </c>
      <c r="D206" s="1" t="n">
        <v>46043</v>
      </c>
      <c r="E206" s="1" t="n">
        <v>46216</v>
      </c>
      <c r="F206" t="inlineStr">
        <is>
          <t>KALMAR LÄN</t>
        </is>
      </c>
      <c r="G206" t="inlineStr">
        <is>
          <t>MÖNSTERÅS</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54022-2025</t>
        </is>
      </c>
      <c r="B207" t="inlineStr">
        <is>
          <t>avverkningsanmälan</t>
        </is>
      </c>
      <c r="C207" t="inlineStr">
        <is>
          <t>Föryngringsavverkning</t>
        </is>
      </c>
      <c r="D207" s="1" t="n">
        <v>45961</v>
      </c>
      <c r="E207" s="1" t="n">
        <v>46216</v>
      </c>
      <c r="F207" t="inlineStr">
        <is>
          <t>KALMAR LÄN</t>
        </is>
      </c>
      <c r="G207" t="inlineStr">
        <is>
          <t>MÖNSTERÅS</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5397-2026</t>
        </is>
      </c>
      <c r="B208" t="inlineStr">
        <is>
          <t>avverkningsanmälan</t>
        </is>
      </c>
      <c r="C208" t="inlineStr">
        <is>
          <t>Föryngringsavverkning</t>
        </is>
      </c>
      <c r="D208" s="1" t="n">
        <v>46050</v>
      </c>
      <c r="E208" s="1" t="n">
        <v>46216</v>
      </c>
      <c r="F208" t="inlineStr">
        <is>
          <t>KALMAR LÄN</t>
        </is>
      </c>
      <c r="G208" t="inlineStr">
        <is>
          <t>MÖNSTERÅS</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59540-2024</t>
        </is>
      </c>
      <c r="B209" t="inlineStr">
        <is>
          <t>avverkningsanmälan</t>
        </is>
      </c>
      <c r="C209" t="inlineStr">
        <is>
          <t>Föryngringsavverkning</t>
        </is>
      </c>
      <c r="D209" s="1" t="n">
        <v>45638</v>
      </c>
      <c r="E209" s="1" t="n">
        <v>46216</v>
      </c>
      <c r="F209" t="inlineStr">
        <is>
          <t>KALMAR LÄN</t>
        </is>
      </c>
      <c r="G209" t="inlineStr">
        <is>
          <t>MÖNSTERÅS</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7637-2023</t>
        </is>
      </c>
      <c r="B210" t="inlineStr">
        <is>
          <t>avverkningsanmälan</t>
        </is>
      </c>
      <c r="C210" t="inlineStr">
        <is>
          <t>Föryngringsavverkning</t>
        </is>
      </c>
      <c r="D210" s="1" t="n">
        <v>44972</v>
      </c>
      <c r="E210" s="1" t="n">
        <v>46216</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s="2" t="inlineStr"/>
    </row>
    <row r="211" ht="15" customHeight="1">
      <c r="A211" t="inlineStr">
        <is>
          <t>A 58984-2025</t>
        </is>
      </c>
      <c r="B211" t="inlineStr">
        <is>
          <t>avverkningsanmälan</t>
        </is>
      </c>
      <c r="C211" t="inlineStr">
        <is>
          <t>Avverkning för annat ändamål</t>
        </is>
      </c>
      <c r="D211" s="1" t="n">
        <v>45987</v>
      </c>
      <c r="E211" s="1" t="n">
        <v>46216</v>
      </c>
      <c r="F211" t="inlineStr">
        <is>
          <t>KALMAR LÄN</t>
        </is>
      </c>
      <c r="G211" t="inlineStr">
        <is>
          <t>MÖNSTERÅS</t>
        </is>
      </c>
      <c r="I211" t="n">
        <v>0.1</v>
      </c>
      <c r="J211" t="n">
        <v>0</v>
      </c>
      <c r="K211" t="n">
        <v>0</v>
      </c>
      <c r="L211" t="n">
        <v>0</v>
      </c>
      <c r="M211" t="n">
        <v>0</v>
      </c>
      <c r="N211" t="n">
        <v>0</v>
      </c>
      <c r="O211" t="n">
        <v>0</v>
      </c>
      <c r="P211" t="n">
        <v>0</v>
      </c>
      <c r="Q211" t="n">
        <v>0</v>
      </c>
      <c r="R211" t="n">
        <v>0</v>
      </c>
      <c r="S211" t="n">
        <v>0</v>
      </c>
      <c r="T211" t="n">
        <v>0</v>
      </c>
      <c r="U211" s="2" t="inlineStr"/>
    </row>
    <row r="212" ht="15" customHeight="1">
      <c r="A212" t="inlineStr">
        <is>
          <t>A 58985-2025</t>
        </is>
      </c>
      <c r="B212" t="inlineStr">
        <is>
          <t>avverkningsanmälan</t>
        </is>
      </c>
      <c r="C212" t="inlineStr">
        <is>
          <t>Avverkning för annat ändamål</t>
        </is>
      </c>
      <c r="D212" s="1" t="n">
        <v>45987</v>
      </c>
      <c r="E212" s="1" t="n">
        <v>46216</v>
      </c>
      <c r="F212" t="inlineStr">
        <is>
          <t>KALMAR LÄN</t>
        </is>
      </c>
      <c r="G212" t="inlineStr">
        <is>
          <t>MÖNSTERÅS</t>
        </is>
      </c>
      <c r="I212" t="n">
        <v>0.4</v>
      </c>
      <c r="J212" t="n">
        <v>0</v>
      </c>
      <c r="K212" t="n">
        <v>0</v>
      </c>
      <c r="L212" t="n">
        <v>0</v>
      </c>
      <c r="M212" t="n">
        <v>0</v>
      </c>
      <c r="N212" t="n">
        <v>0</v>
      </c>
      <c r="O212" t="n">
        <v>0</v>
      </c>
      <c r="P212" t="n">
        <v>0</v>
      </c>
      <c r="Q212" t="n">
        <v>0</v>
      </c>
      <c r="R212" t="n">
        <v>0</v>
      </c>
      <c r="S212" t="n">
        <v>0</v>
      </c>
      <c r="T212" t="n">
        <v>0</v>
      </c>
      <c r="U212" s="2" t="inlineStr"/>
    </row>
    <row r="213" ht="15" customHeight="1">
      <c r="A213" t="inlineStr">
        <is>
          <t>A 58987-2025</t>
        </is>
      </c>
      <c r="B213" t="inlineStr">
        <is>
          <t>avverkningsanmälan</t>
        </is>
      </c>
      <c r="C213" t="inlineStr">
        <is>
          <t>Avverkning för annat ändamål</t>
        </is>
      </c>
      <c r="D213" s="1" t="n">
        <v>45987</v>
      </c>
      <c r="E213" s="1" t="n">
        <v>46216</v>
      </c>
      <c r="F213" t="inlineStr">
        <is>
          <t>KALMAR LÄN</t>
        </is>
      </c>
      <c r="G213" t="inlineStr">
        <is>
          <t>MÖNSTERÅS</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10934-2023</t>
        </is>
      </c>
      <c r="B214" t="inlineStr">
        <is>
          <t>avverkningsanmälan</t>
        </is>
      </c>
      <c r="C214" t="inlineStr">
        <is>
          <t>Föryngringsavverkning</t>
        </is>
      </c>
      <c r="D214" s="1" t="n">
        <v>44991</v>
      </c>
      <c r="E214" s="1" t="n">
        <v>46216</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59233-2025</t>
        </is>
      </c>
      <c r="B215" t="inlineStr">
        <is>
          <t>avverkningsanmälan</t>
        </is>
      </c>
      <c r="C215" t="inlineStr">
        <is>
          <t>Föryngringsavverkning</t>
        </is>
      </c>
      <c r="D215" s="1" t="n">
        <v>45988</v>
      </c>
      <c r="E215" s="1" t="n">
        <v>46216</v>
      </c>
      <c r="F215" t="inlineStr">
        <is>
          <t>KALMAR LÄN</t>
        </is>
      </c>
      <c r="G215" t="inlineStr">
        <is>
          <t>MÖNSTERÅS</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64106-2023</t>
        </is>
      </c>
      <c r="B216" t="inlineStr">
        <is>
          <t>avverkningsanmälan</t>
        </is>
      </c>
      <c r="C216" t="inlineStr">
        <is>
          <t>Föryngringsavverkning</t>
        </is>
      </c>
      <c r="D216" s="1" t="n">
        <v>45279</v>
      </c>
      <c r="E216" s="1" t="n">
        <v>46216</v>
      </c>
      <c r="F216" t="inlineStr">
        <is>
          <t>KALMAR LÄN</t>
        </is>
      </c>
      <c r="G216" t="inlineStr">
        <is>
          <t>MÖNSTERÅS</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59309-2022</t>
        </is>
      </c>
      <c r="B217" t="inlineStr">
        <is>
          <t>avverkningsanmälan</t>
        </is>
      </c>
      <c r="C217" t="inlineStr">
        <is>
          <t>Föryngringsavverkning</t>
        </is>
      </c>
      <c r="D217" s="1" t="n">
        <v>44904</v>
      </c>
      <c r="E217" s="1" t="n">
        <v>46216</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59243-2022</t>
        </is>
      </c>
      <c r="B218" t="inlineStr">
        <is>
          <t>avverkningsanmälan</t>
        </is>
      </c>
      <c r="C218" t="inlineStr">
        <is>
          <t>Föryngringsavverkning</t>
        </is>
      </c>
      <c r="D218" s="1" t="n">
        <v>44904</v>
      </c>
      <c r="E218" s="1" t="n">
        <v>46216</v>
      </c>
      <c r="F218" t="inlineStr">
        <is>
          <t>KALMAR LÄN</t>
        </is>
      </c>
      <c r="G218" t="inlineStr">
        <is>
          <t>MÖNSTERÅS</t>
        </is>
      </c>
      <c r="I218" t="n">
        <v>6</v>
      </c>
      <c r="J218" t="n">
        <v>0</v>
      </c>
      <c r="K218" t="n">
        <v>0</v>
      </c>
      <c r="L218" t="n">
        <v>0</v>
      </c>
      <c r="M218" t="n">
        <v>0</v>
      </c>
      <c r="N218" t="n">
        <v>0</v>
      </c>
      <c r="O218" t="n">
        <v>0</v>
      </c>
      <c r="P218" t="n">
        <v>0</v>
      </c>
      <c r="Q218" t="n">
        <v>0</v>
      </c>
      <c r="R218" t="n">
        <v>0</v>
      </c>
      <c r="S218" t="n">
        <v>0</v>
      </c>
      <c r="T218" t="n">
        <v>0</v>
      </c>
      <c r="U218" s="2" t="inlineStr"/>
    </row>
    <row r="219" ht="15" customHeight="1">
      <c r="A219" t="inlineStr">
        <is>
          <t>A 61018-2025</t>
        </is>
      </c>
      <c r="B219" t="inlineStr">
        <is>
          <t>avverkningsanmälan</t>
        </is>
      </c>
      <c r="C219" t="inlineStr">
        <is>
          <t>Föryngringsavverkning</t>
        </is>
      </c>
      <c r="D219" s="1" t="n">
        <v>45999</v>
      </c>
      <c r="E219" s="1" t="n">
        <v>46216</v>
      </c>
      <c r="F219" t="inlineStr">
        <is>
          <t>KALMAR LÄN</t>
        </is>
      </c>
      <c r="G219" t="inlineStr">
        <is>
          <t>MÖNSTERÅS</t>
        </is>
      </c>
      <c r="H219" t="inlineStr">
        <is>
          <t>Sveaskog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61019-2025</t>
        </is>
      </c>
      <c r="B220" t="inlineStr">
        <is>
          <t>avverkningsanmälan</t>
        </is>
      </c>
      <c r="C220" t="inlineStr">
        <is>
          <t>Föryngringsavverkning</t>
        </is>
      </c>
      <c r="D220" s="1" t="n">
        <v>45999</v>
      </c>
      <c r="E220" s="1" t="n">
        <v>46216</v>
      </c>
      <c r="F220" t="inlineStr">
        <is>
          <t>KALMAR LÄN</t>
        </is>
      </c>
      <c r="G220" t="inlineStr">
        <is>
          <t>MÖNSTERÅS</t>
        </is>
      </c>
      <c r="H220" t="inlineStr">
        <is>
          <t>Sveaskog</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10710-2026</t>
        </is>
      </c>
      <c r="B221" t="inlineStr">
        <is>
          <t>avverkningsanmälan</t>
        </is>
      </c>
      <c r="C221" t="inlineStr">
        <is>
          <t>Föryngringsavverkning</t>
        </is>
      </c>
      <c r="D221" s="1" t="n">
        <v>46078</v>
      </c>
      <c r="E221" s="1" t="n">
        <v>46216</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55405-2023</t>
        </is>
      </c>
      <c r="B222" t="inlineStr">
        <is>
          <t>avverkningsanmälan</t>
        </is>
      </c>
      <c r="C222" t="inlineStr">
        <is>
          <t>Föryngringsavverkning</t>
        </is>
      </c>
      <c r="D222" s="1" t="n">
        <v>45238</v>
      </c>
      <c r="E222" s="1" t="n">
        <v>46216</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21950-2023</t>
        </is>
      </c>
      <c r="B223" t="inlineStr">
        <is>
          <t>avverkningsanmälan</t>
        </is>
      </c>
      <c r="C223" t="inlineStr">
        <is>
          <t>Föryngringsavverkning</t>
        </is>
      </c>
      <c r="D223" s="1" t="n">
        <v>45068</v>
      </c>
      <c r="E223" s="1" t="n">
        <v>46216</v>
      </c>
      <c r="F223" t="inlineStr">
        <is>
          <t>KALMAR LÄN</t>
        </is>
      </c>
      <c r="G223" t="inlineStr">
        <is>
          <t>MÖNSTERÅS</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49658-2024</t>
        </is>
      </c>
      <c r="B224" t="inlineStr">
        <is>
          <t>avverkningsanmälan</t>
        </is>
      </c>
      <c r="C224" t="inlineStr">
        <is>
          <t>Föryngringsavverkning</t>
        </is>
      </c>
      <c r="D224" s="1" t="n">
        <v>45596</v>
      </c>
      <c r="E224" s="1" t="n">
        <v>46216</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4946-2024</t>
        </is>
      </c>
      <c r="B225" t="inlineStr">
        <is>
          <t>avverkningsanmälan</t>
        </is>
      </c>
      <c r="C225" t="inlineStr">
        <is>
          <t>Föryngringsavverkning</t>
        </is>
      </c>
      <c r="D225" s="1" t="n">
        <v>45329</v>
      </c>
      <c r="E225" s="1" t="n">
        <v>46216</v>
      </c>
      <c r="F225" t="inlineStr">
        <is>
          <t>KALMAR LÄN</t>
        </is>
      </c>
      <c r="G225" t="inlineStr">
        <is>
          <t>MÖNSTERÅS</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5235-2024</t>
        </is>
      </c>
      <c r="B226" t="inlineStr">
        <is>
          <t>avverkningsanmälan</t>
        </is>
      </c>
      <c r="C226" t="inlineStr">
        <is>
          <t>Föryngringsavverkning</t>
        </is>
      </c>
      <c r="D226" s="1" t="n">
        <v>45330</v>
      </c>
      <c r="E226" s="1" t="n">
        <v>46216</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57964-2024</t>
        </is>
      </c>
      <c r="B227" t="inlineStr">
        <is>
          <t>avverkningsanmälan</t>
        </is>
      </c>
      <c r="C227" t="inlineStr">
        <is>
          <t>Föryngringsavverkning</t>
        </is>
      </c>
      <c r="D227" s="1" t="n">
        <v>45631</v>
      </c>
      <c r="E227" s="1" t="n">
        <v>46216</v>
      </c>
      <c r="F227" t="inlineStr">
        <is>
          <t>KALMAR LÄN</t>
        </is>
      </c>
      <c r="G227" t="inlineStr">
        <is>
          <t>MÖNSTERÅS</t>
        </is>
      </c>
      <c r="H227" t="inlineStr">
        <is>
          <t>Övriga Aktiebolag</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12912-2026</t>
        </is>
      </c>
      <c r="B228" t="inlineStr">
        <is>
          <t>avverkningsanmälan</t>
        </is>
      </c>
      <c r="C228" t="inlineStr">
        <is>
          <t>Föryngringsavverkning</t>
        </is>
      </c>
      <c r="D228" s="1" t="n">
        <v>46092</v>
      </c>
      <c r="E228" s="1" t="n">
        <v>46216</v>
      </c>
      <c r="F228" t="inlineStr">
        <is>
          <t>KALMAR LÄN</t>
        </is>
      </c>
      <c r="G228" t="inlineStr">
        <is>
          <t>MÖNSTERÅS</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15067-2024</t>
        </is>
      </c>
      <c r="B229" t="inlineStr">
        <is>
          <t>avverkningsanmälan</t>
        </is>
      </c>
      <c r="C229" t="inlineStr">
        <is>
          <t>Föryngringsavverkning</t>
        </is>
      </c>
      <c r="D229" s="1" t="n">
        <v>45399</v>
      </c>
      <c r="E229" s="1" t="n">
        <v>46216</v>
      </c>
      <c r="F229" t="inlineStr">
        <is>
          <t>KALMAR LÄN</t>
        </is>
      </c>
      <c r="G229" t="inlineStr">
        <is>
          <t>MÖNSTERÅS</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6223-2022</t>
        </is>
      </c>
      <c r="B230" t="inlineStr">
        <is>
          <t>avverkningsanmälan</t>
        </is>
      </c>
      <c r="C230" t="inlineStr">
        <is>
          <t>Föryngringsavverkning</t>
        </is>
      </c>
      <c r="D230" s="1" t="n">
        <v>44600</v>
      </c>
      <c r="E230" s="1" t="n">
        <v>46216</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63471-2023</t>
        </is>
      </c>
      <c r="B231" t="inlineStr">
        <is>
          <t>avverkningsanmälan</t>
        </is>
      </c>
      <c r="C231" t="inlineStr">
        <is>
          <t>Föryngringsavverkning</t>
        </is>
      </c>
      <c r="D231" s="1" t="n">
        <v>45274</v>
      </c>
      <c r="E231" s="1" t="n">
        <v>46216</v>
      </c>
      <c r="F231" t="inlineStr">
        <is>
          <t>KALMAR LÄN</t>
        </is>
      </c>
      <c r="G231" t="inlineStr">
        <is>
          <t>MÖNSTERÅS</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13426-2026</t>
        </is>
      </c>
      <c r="B232" t="inlineStr">
        <is>
          <t>avverkningsanmälan</t>
        </is>
      </c>
      <c r="C232" t="inlineStr">
        <is>
          <t>Föryngringsavverkning</t>
        </is>
      </c>
      <c r="D232" s="1" t="n">
        <v>46094</v>
      </c>
      <c r="E232" s="1" t="n">
        <v>46216</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13723-2026</t>
        </is>
      </c>
      <c r="B233" t="inlineStr">
        <is>
          <t>avverkningsanmälan</t>
        </is>
      </c>
      <c r="C233" t="inlineStr">
        <is>
          <t>Föryngringsavverkning</t>
        </is>
      </c>
      <c r="D233" s="1" t="n">
        <v>46097</v>
      </c>
      <c r="E233" s="1" t="n">
        <v>46216</v>
      </c>
      <c r="F233" t="inlineStr">
        <is>
          <t>KALMAR LÄN</t>
        </is>
      </c>
      <c r="G233" t="inlineStr">
        <is>
          <t>MÖNSTERÅS</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59298-2022</t>
        </is>
      </c>
      <c r="B234" t="inlineStr">
        <is>
          <t>avverkningsanmälan</t>
        </is>
      </c>
      <c r="C234" t="inlineStr">
        <is>
          <t>Föryngringsavverkning</t>
        </is>
      </c>
      <c r="D234" s="1" t="n">
        <v>44904</v>
      </c>
      <c r="E234" s="1" t="n">
        <v>46216</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s="2" t="inlineStr"/>
    </row>
    <row r="235" ht="15" customHeight="1">
      <c r="A235" t="inlineStr">
        <is>
          <t>A 2713-2024</t>
        </is>
      </c>
      <c r="B235" t="inlineStr">
        <is>
          <t>avverkningsanmälan</t>
        </is>
      </c>
      <c r="C235" t="inlineStr">
        <is>
          <t>Föryngringsavverkning</t>
        </is>
      </c>
      <c r="D235" s="1" t="n">
        <v>45314</v>
      </c>
      <c r="E235" s="1" t="n">
        <v>46216</v>
      </c>
      <c r="F235" t="inlineStr">
        <is>
          <t>KALMAR LÄN</t>
        </is>
      </c>
      <c r="G235" t="inlineStr">
        <is>
          <t>MÖNSTERÅS</t>
        </is>
      </c>
      <c r="I235" t="n">
        <v>7.4</v>
      </c>
      <c r="J235" t="n">
        <v>0</v>
      </c>
      <c r="K235" t="n">
        <v>0</v>
      </c>
      <c r="L235" t="n">
        <v>0</v>
      </c>
      <c r="M235" t="n">
        <v>0</v>
      </c>
      <c r="N235" t="n">
        <v>0</v>
      </c>
      <c r="O235" t="n">
        <v>0</v>
      </c>
      <c r="P235" t="n">
        <v>0</v>
      </c>
      <c r="Q235" t="n">
        <v>0</v>
      </c>
      <c r="R235" t="n">
        <v>0</v>
      </c>
      <c r="S235" t="n">
        <v>0</v>
      </c>
      <c r="T235" t="n">
        <v>0</v>
      </c>
      <c r="U235" s="2" t="inlineStr"/>
    </row>
    <row r="236" ht="15" customHeight="1">
      <c r="A236" t="inlineStr">
        <is>
          <t>A 17753-2023</t>
        </is>
      </c>
      <c r="B236" t="inlineStr">
        <is>
          <t>avverkningsanmälan</t>
        </is>
      </c>
      <c r="C236" t="inlineStr">
        <is>
          <t>Föryngringsavverkning</t>
        </is>
      </c>
      <c r="D236" s="1" t="n">
        <v>45037</v>
      </c>
      <c r="E236" s="1" t="n">
        <v>46216</v>
      </c>
      <c r="F236" t="inlineStr">
        <is>
          <t>KALMAR LÄN</t>
        </is>
      </c>
      <c r="G236" t="inlineStr">
        <is>
          <t>MÖNSTERÅS</t>
        </is>
      </c>
      <c r="I236" t="n">
        <v>3.3</v>
      </c>
      <c r="J236" t="n">
        <v>0</v>
      </c>
      <c r="K236" t="n">
        <v>0</v>
      </c>
      <c r="L236" t="n">
        <v>0</v>
      </c>
      <c r="M236" t="n">
        <v>0</v>
      </c>
      <c r="N236" t="n">
        <v>0</v>
      </c>
      <c r="O236" t="n">
        <v>0</v>
      </c>
      <c r="P236" t="n">
        <v>0</v>
      </c>
      <c r="Q236" t="n">
        <v>0</v>
      </c>
      <c r="R236" t="n">
        <v>0</v>
      </c>
      <c r="S236" t="n">
        <v>0</v>
      </c>
      <c r="T236" t="n">
        <v>0</v>
      </c>
      <c r="U236" s="2" t="inlineStr"/>
    </row>
    <row r="237" ht="15" customHeight="1">
      <c r="A237" t="inlineStr">
        <is>
          <t>A 8981-2025</t>
        </is>
      </c>
      <c r="B237" t="inlineStr">
        <is>
          <t>avverkningsanmälan</t>
        </is>
      </c>
      <c r="C237" t="inlineStr">
        <is>
          <t>Föryngringsavverkning</t>
        </is>
      </c>
      <c r="D237" s="1" t="n">
        <v>45713</v>
      </c>
      <c r="E237" s="1" t="n">
        <v>46216</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49892-2024</t>
        </is>
      </c>
      <c r="B238" t="inlineStr">
        <is>
          <t>avverkningsanmälan</t>
        </is>
      </c>
      <c r="C238" t="inlineStr">
        <is>
          <t>Föryngringsavverkning</t>
        </is>
      </c>
      <c r="D238" s="1" t="n">
        <v>45597</v>
      </c>
      <c r="E238" s="1" t="n">
        <v>46216</v>
      </c>
      <c r="F238" t="inlineStr">
        <is>
          <t>KALMAR LÄN</t>
        </is>
      </c>
      <c r="G238" t="inlineStr">
        <is>
          <t>MÖNSTERÅS</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10388-2023</t>
        </is>
      </c>
      <c r="B239" t="inlineStr">
        <is>
          <t>avverkningsanmälan</t>
        </is>
      </c>
      <c r="C239" t="inlineStr">
        <is>
          <t>Föryngringsavverkning</t>
        </is>
      </c>
      <c r="D239" s="1" t="n">
        <v>44981</v>
      </c>
      <c r="E239" s="1" t="n">
        <v>46216</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63047-2023</t>
        </is>
      </c>
      <c r="B240" t="inlineStr">
        <is>
          <t>avverkningsanmälan</t>
        </is>
      </c>
      <c r="C240" t="inlineStr">
        <is>
          <t>Föryngringsavverkning</t>
        </is>
      </c>
      <c r="D240" s="1" t="n">
        <v>45272</v>
      </c>
      <c r="E240" s="1" t="n">
        <v>46216</v>
      </c>
      <c r="F240" t="inlineStr">
        <is>
          <t>KALMAR LÄN</t>
        </is>
      </c>
      <c r="G240" t="inlineStr">
        <is>
          <t>MÖNSTERÅS</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17123-2023</t>
        </is>
      </c>
      <c r="B241" t="inlineStr">
        <is>
          <t>avverkningsanmälan</t>
        </is>
      </c>
      <c r="C241" t="inlineStr">
        <is>
          <t>Föryngringsavverkning</t>
        </is>
      </c>
      <c r="D241" s="1" t="n">
        <v>45034</v>
      </c>
      <c r="E241" s="1" t="n">
        <v>46216</v>
      </c>
      <c r="F241" t="inlineStr">
        <is>
          <t>KALMAR LÄN</t>
        </is>
      </c>
      <c r="G241" t="inlineStr">
        <is>
          <t>MÖNSTERÅS</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2671-2024</t>
        </is>
      </c>
      <c r="B242" t="inlineStr">
        <is>
          <t>avverkningsanmälan</t>
        </is>
      </c>
      <c r="C242" t="inlineStr">
        <is>
          <t>Föryngringsavverkning</t>
        </is>
      </c>
      <c r="D242" s="1" t="n">
        <v>45314</v>
      </c>
      <c r="E242" s="1" t="n">
        <v>46216</v>
      </c>
      <c r="F242" t="inlineStr">
        <is>
          <t>KALMAR LÄN</t>
        </is>
      </c>
      <c r="G242" t="inlineStr">
        <is>
          <t>MÖNSTERÅS</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26494-2023</t>
        </is>
      </c>
      <c r="B243" t="inlineStr">
        <is>
          <t>avverkningsanmälan</t>
        </is>
      </c>
      <c r="C243" t="inlineStr">
        <is>
          <t>Föryngringsavverkning</t>
        </is>
      </c>
      <c r="D243" s="1" t="n">
        <v>45092</v>
      </c>
      <c r="E243" s="1" t="n">
        <v>46216</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36644-2024</t>
        </is>
      </c>
      <c r="B244" t="inlineStr">
        <is>
          <t>avverkningsanmälan</t>
        </is>
      </c>
      <c r="C244" t="inlineStr">
        <is>
          <t>Föryngringsavverkning</t>
        </is>
      </c>
      <c r="D244" s="1" t="n">
        <v>45537</v>
      </c>
      <c r="E244" s="1" t="n">
        <v>46216</v>
      </c>
      <c r="F244" t="inlineStr">
        <is>
          <t>KALMAR LÄN</t>
        </is>
      </c>
      <c r="G244" t="inlineStr">
        <is>
          <t>MÖNSTERÅS</t>
        </is>
      </c>
      <c r="I244" t="n">
        <v>7.3</v>
      </c>
      <c r="J244" t="n">
        <v>0</v>
      </c>
      <c r="K244" t="n">
        <v>0</v>
      </c>
      <c r="L244" t="n">
        <v>0</v>
      </c>
      <c r="M244" t="n">
        <v>0</v>
      </c>
      <c r="N244" t="n">
        <v>0</v>
      </c>
      <c r="O244" t="n">
        <v>0</v>
      </c>
      <c r="P244" t="n">
        <v>0</v>
      </c>
      <c r="Q244" t="n">
        <v>0</v>
      </c>
      <c r="R244" t="n">
        <v>0</v>
      </c>
      <c r="S244" t="n">
        <v>0</v>
      </c>
      <c r="T244" t="n">
        <v>0</v>
      </c>
      <c r="U244" s="2" t="inlineStr"/>
    </row>
    <row r="245" ht="15" customHeight="1">
      <c r="A245" t="inlineStr">
        <is>
          <t>A 16851-2026</t>
        </is>
      </c>
      <c r="B245" t="inlineStr">
        <is>
          <t>avverkningsanmälan</t>
        </is>
      </c>
      <c r="C245" t="inlineStr">
        <is>
          <t>Föryngringsavverkning</t>
        </is>
      </c>
      <c r="D245" s="1" t="n">
        <v>46113</v>
      </c>
      <c r="E245" s="1" t="n">
        <v>46216</v>
      </c>
      <c r="F245" t="inlineStr">
        <is>
          <t>KALMAR LÄN</t>
        </is>
      </c>
      <c r="G245" t="inlineStr">
        <is>
          <t>MÖNSTERÅS</t>
        </is>
      </c>
      <c r="H245" t="inlineStr">
        <is>
          <t>Kommuner</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42941-2023</t>
        </is>
      </c>
      <c r="B246" t="inlineStr">
        <is>
          <t>avverkningsanmälan</t>
        </is>
      </c>
      <c r="C246" t="inlineStr">
        <is>
          <t>Föryngringsavverkning</t>
        </is>
      </c>
      <c r="D246" s="1" t="n">
        <v>45182</v>
      </c>
      <c r="E246" s="1" t="n">
        <v>46216</v>
      </c>
      <c r="F246" t="inlineStr">
        <is>
          <t>KALMAR LÄN</t>
        </is>
      </c>
      <c r="G246" t="inlineStr">
        <is>
          <t>MÖNSTERÅS</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36873-2024</t>
        </is>
      </c>
      <c r="B247" t="inlineStr">
        <is>
          <t>avverkningsanmälan</t>
        </is>
      </c>
      <c r="C247" t="inlineStr">
        <is>
          <t>Föryngringsavverkning</t>
        </is>
      </c>
      <c r="D247" s="1" t="n">
        <v>45538</v>
      </c>
      <c r="E247" s="1" t="n">
        <v>46216</v>
      </c>
      <c r="F247" t="inlineStr">
        <is>
          <t>KALMAR LÄN</t>
        </is>
      </c>
      <c r="G247" t="inlineStr">
        <is>
          <t>MÖNSTERÅS</t>
        </is>
      </c>
      <c r="I247" t="n">
        <v>7</v>
      </c>
      <c r="J247" t="n">
        <v>0</v>
      </c>
      <c r="K247" t="n">
        <v>0</v>
      </c>
      <c r="L247" t="n">
        <v>0</v>
      </c>
      <c r="M247" t="n">
        <v>0</v>
      </c>
      <c r="N247" t="n">
        <v>0</v>
      </c>
      <c r="O247" t="n">
        <v>0</v>
      </c>
      <c r="P247" t="n">
        <v>0</v>
      </c>
      <c r="Q247" t="n">
        <v>0</v>
      </c>
      <c r="R247" t="n">
        <v>0</v>
      </c>
      <c r="S247" t="n">
        <v>0</v>
      </c>
      <c r="T247" t="n">
        <v>0</v>
      </c>
      <c r="U247" s="2" t="inlineStr"/>
    </row>
    <row r="248" ht="15" customHeight="1">
      <c r="A248" t="inlineStr">
        <is>
          <t>A 17956-2026</t>
        </is>
      </c>
      <c r="B248" t="inlineStr">
        <is>
          <t>avverkningsanmälan</t>
        </is>
      </c>
      <c r="C248" t="inlineStr">
        <is>
          <t>Föryngringsavverkning</t>
        </is>
      </c>
      <c r="D248" s="1" t="n">
        <v>46122</v>
      </c>
      <c r="E248" s="1" t="n">
        <v>46216</v>
      </c>
      <c r="F248" t="inlineStr">
        <is>
          <t>KALMAR LÄN</t>
        </is>
      </c>
      <c r="G248" t="inlineStr">
        <is>
          <t>MÖNSTERÅS</t>
        </is>
      </c>
      <c r="I248" t="n">
        <v>8.699999999999999</v>
      </c>
      <c r="J248" t="n">
        <v>0</v>
      </c>
      <c r="K248" t="n">
        <v>0</v>
      </c>
      <c r="L248" t="n">
        <v>0</v>
      </c>
      <c r="M248" t="n">
        <v>0</v>
      </c>
      <c r="N248" t="n">
        <v>0</v>
      </c>
      <c r="O248" t="n">
        <v>0</v>
      </c>
      <c r="P248" t="n">
        <v>0</v>
      </c>
      <c r="Q248" t="n">
        <v>0</v>
      </c>
      <c r="R248" t="n">
        <v>0</v>
      </c>
      <c r="S248" t="n">
        <v>0</v>
      </c>
      <c r="T248" t="n">
        <v>0</v>
      </c>
      <c r="U248" s="2" t="inlineStr"/>
    </row>
    <row r="249" ht="15" customHeight="1">
      <c r="A249" t="inlineStr">
        <is>
          <t>A 15719-2024</t>
        </is>
      </c>
      <c r="B249" t="inlineStr">
        <is>
          <t>avverkningsanmälan</t>
        </is>
      </c>
      <c r="C249" t="inlineStr">
        <is>
          <t>Föryngringsavverkning</t>
        </is>
      </c>
      <c r="D249" s="1" t="n">
        <v>45404</v>
      </c>
      <c r="E249" s="1" t="n">
        <v>46216</v>
      </c>
      <c r="F249" t="inlineStr">
        <is>
          <t>KALMAR LÄN</t>
        </is>
      </c>
      <c r="G249" t="inlineStr">
        <is>
          <t>MÖNSTERÅS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18345-2026</t>
        </is>
      </c>
      <c r="B250" t="inlineStr">
        <is>
          <t>avverkningsanmälan</t>
        </is>
      </c>
      <c r="C250" t="inlineStr">
        <is>
          <t>Avverkning för annat ändamål</t>
        </is>
      </c>
      <c r="D250" s="1" t="n">
        <v>46126</v>
      </c>
      <c r="E250" s="1" t="n">
        <v>46216</v>
      </c>
      <c r="F250" t="inlineStr">
        <is>
          <t>KALMAR LÄN</t>
        </is>
      </c>
      <c r="G250" t="inlineStr">
        <is>
          <t>MÖNSTERÅS</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18346-2026</t>
        </is>
      </c>
      <c r="B251" t="inlineStr">
        <is>
          <t>avverkningsanmälan</t>
        </is>
      </c>
      <c r="C251" t="inlineStr">
        <is>
          <t>Avverkning för annat ändamål</t>
        </is>
      </c>
      <c r="D251" s="1" t="n">
        <v>46126</v>
      </c>
      <c r="E251" s="1" t="n">
        <v>46216</v>
      </c>
      <c r="F251" t="inlineStr">
        <is>
          <t>KALMAR LÄN</t>
        </is>
      </c>
      <c r="G251" t="inlineStr">
        <is>
          <t>MÖNSTERÅS</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18334-2026</t>
        </is>
      </c>
      <c r="B252" t="inlineStr">
        <is>
          <t>avverkningsanmälan</t>
        </is>
      </c>
      <c r="C252" t="inlineStr">
        <is>
          <t>Föryngringsavverkning</t>
        </is>
      </c>
      <c r="D252" s="1" t="n">
        <v>46126</v>
      </c>
      <c r="E252" s="1" t="n">
        <v>46216</v>
      </c>
      <c r="F252" t="inlineStr">
        <is>
          <t>KALMAR LÄN</t>
        </is>
      </c>
      <c r="G252" t="inlineStr">
        <is>
          <t>MÖNSTERÅS</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14906-2023</t>
        </is>
      </c>
      <c r="B253" t="inlineStr">
        <is>
          <t>avverkningsanmälan</t>
        </is>
      </c>
      <c r="C253" t="inlineStr">
        <is>
          <t>Föryngringsavverkning</t>
        </is>
      </c>
      <c r="D253" s="1" t="n">
        <v>45015</v>
      </c>
      <c r="E253" s="1" t="n">
        <v>46216</v>
      </c>
      <c r="F253" t="inlineStr">
        <is>
          <t>KALMAR LÄN</t>
        </is>
      </c>
      <c r="G253" t="inlineStr">
        <is>
          <t>MÖNSTERÅS</t>
        </is>
      </c>
      <c r="I253" t="n">
        <v>3.9</v>
      </c>
      <c r="J253" t="n">
        <v>0</v>
      </c>
      <c r="K253" t="n">
        <v>0</v>
      </c>
      <c r="L253" t="n">
        <v>0</v>
      </c>
      <c r="M253" t="n">
        <v>0</v>
      </c>
      <c r="N253" t="n">
        <v>0</v>
      </c>
      <c r="O253" t="n">
        <v>0</v>
      </c>
      <c r="P253" t="n">
        <v>0</v>
      </c>
      <c r="Q253" t="n">
        <v>0</v>
      </c>
      <c r="R253" t="n">
        <v>0</v>
      </c>
      <c r="S253" t="n">
        <v>0</v>
      </c>
      <c r="T253" t="n">
        <v>0</v>
      </c>
      <c r="U253" s="2" t="inlineStr"/>
    </row>
    <row r="254" ht="15" customHeight="1">
      <c r="A254" t="inlineStr">
        <is>
          <t>A 40241-2022</t>
        </is>
      </c>
      <c r="B254" t="inlineStr">
        <is>
          <t>avverkningsanmälan</t>
        </is>
      </c>
      <c r="C254" t="inlineStr">
        <is>
          <t>Föryngringsavverkning</t>
        </is>
      </c>
      <c r="D254" s="1" t="n">
        <v>44820</v>
      </c>
      <c r="E254" s="1" t="n">
        <v>46216</v>
      </c>
      <c r="F254" t="inlineStr">
        <is>
          <t>KALMAR LÄN</t>
        </is>
      </c>
      <c r="G254" t="inlineStr">
        <is>
          <t>MÖNSTERÅS</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37094-2022</t>
        </is>
      </c>
      <c r="B255" t="inlineStr">
        <is>
          <t>avverkningsanmälan</t>
        </is>
      </c>
      <c r="C255" t="inlineStr">
        <is>
          <t>Föryngringsavverkning</t>
        </is>
      </c>
      <c r="D255" s="1" t="n">
        <v>44806</v>
      </c>
      <c r="E255" s="1" t="n">
        <v>46216</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59802-2024</t>
        </is>
      </c>
      <c r="B256" t="inlineStr">
        <is>
          <t>avverkningsanmälan</t>
        </is>
      </c>
      <c r="C256" t="inlineStr">
        <is>
          <t>Föryngringsavverkning</t>
        </is>
      </c>
      <c r="D256" s="1" t="n">
        <v>45639</v>
      </c>
      <c r="E256" s="1" t="n">
        <v>46216</v>
      </c>
      <c r="F256" t="inlineStr">
        <is>
          <t>KALMAR LÄN</t>
        </is>
      </c>
      <c r="G256" t="inlineStr">
        <is>
          <t>MÖNSTERÅS</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31015-2023</t>
        </is>
      </c>
      <c r="B257" t="inlineStr">
        <is>
          <t>avverkningsanmälan</t>
        </is>
      </c>
      <c r="C257" t="inlineStr">
        <is>
          <t>Avverkning för annat ändamål</t>
        </is>
      </c>
      <c r="D257" s="1" t="n">
        <v>45113</v>
      </c>
      <c r="E257" s="1" t="n">
        <v>46216</v>
      </c>
      <c r="F257" t="inlineStr">
        <is>
          <t>KALMAR LÄN</t>
        </is>
      </c>
      <c r="G257" t="inlineStr">
        <is>
          <t>MÖNSTERÅS</t>
        </is>
      </c>
      <c r="I257" t="n">
        <v>11.4</v>
      </c>
      <c r="J257" t="n">
        <v>0</v>
      </c>
      <c r="K257" t="n">
        <v>0</v>
      </c>
      <c r="L257" t="n">
        <v>0</v>
      </c>
      <c r="M257" t="n">
        <v>0</v>
      </c>
      <c r="N257" t="n">
        <v>0</v>
      </c>
      <c r="O257" t="n">
        <v>0</v>
      </c>
      <c r="P257" t="n">
        <v>0</v>
      </c>
      <c r="Q257" t="n">
        <v>0</v>
      </c>
      <c r="R257" t="n">
        <v>0</v>
      </c>
      <c r="S257" t="n">
        <v>0</v>
      </c>
      <c r="T257" t="n">
        <v>0</v>
      </c>
      <c r="U257" s="2" t="inlineStr"/>
    </row>
    <row r="258" ht="15" customHeight="1">
      <c r="A258" t="inlineStr">
        <is>
          <t>A 14610-2023</t>
        </is>
      </c>
      <c r="B258" t="inlineStr">
        <is>
          <t>avverkningsanmälan</t>
        </is>
      </c>
      <c r="C258" t="inlineStr">
        <is>
          <t>Föryngringsavverkning</t>
        </is>
      </c>
      <c r="D258" s="1" t="n">
        <v>45013</v>
      </c>
      <c r="E258" s="1" t="n">
        <v>46216</v>
      </c>
      <c r="F258" t="inlineStr">
        <is>
          <t>KALMAR LÄN</t>
        </is>
      </c>
      <c r="G258" t="inlineStr">
        <is>
          <t>MÖNSTERÅS</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18843-2025</t>
        </is>
      </c>
      <c r="B259" t="inlineStr">
        <is>
          <t>avverkningsanmälan</t>
        </is>
      </c>
      <c r="C259" t="inlineStr">
        <is>
          <t>Föryngringsavverkning</t>
        </is>
      </c>
      <c r="D259" s="1" t="n">
        <v>45764</v>
      </c>
      <c r="E259" s="1" t="n">
        <v>46216</v>
      </c>
      <c r="F259" t="inlineStr">
        <is>
          <t>KALMAR LÄN</t>
        </is>
      </c>
      <c r="G259" t="inlineStr">
        <is>
          <t>MÖNSTERÅS</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57763-2022</t>
        </is>
      </c>
      <c r="B260" t="inlineStr">
        <is>
          <t>avverkningsanmälan</t>
        </is>
      </c>
      <c r="C260" t="inlineStr">
        <is>
          <t>Föryngringsavverkning</t>
        </is>
      </c>
      <c r="D260" s="1" t="n">
        <v>44897</v>
      </c>
      <c r="E260" s="1" t="n">
        <v>46216</v>
      </c>
      <c r="F260" t="inlineStr">
        <is>
          <t>KALMAR LÄN</t>
        </is>
      </c>
      <c r="G260" t="inlineStr">
        <is>
          <t>MÖNSTERÅS</t>
        </is>
      </c>
      <c r="H260" t="inlineStr">
        <is>
          <t>Övriga Aktiebolag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9050-2023</t>
        </is>
      </c>
      <c r="B261" t="inlineStr">
        <is>
          <t>avverkningsanmälan</t>
        </is>
      </c>
      <c r="C261" t="inlineStr">
        <is>
          <t>Föryngringsavverkning</t>
        </is>
      </c>
      <c r="D261" s="1" t="n">
        <v>44979</v>
      </c>
      <c r="E261" s="1" t="n">
        <v>46216</v>
      </c>
      <c r="F261" t="inlineStr">
        <is>
          <t>KALMAR LÄN</t>
        </is>
      </c>
      <c r="G261" t="inlineStr">
        <is>
          <t>MÖNSTERÅS</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24984-2023</t>
        </is>
      </c>
      <c r="B262" t="inlineStr">
        <is>
          <t>avverkningsanmälan</t>
        </is>
      </c>
      <c r="C262" t="inlineStr">
        <is>
          <t>Föryngringsavverkning</t>
        </is>
      </c>
      <c r="D262" s="1" t="n">
        <v>45085</v>
      </c>
      <c r="E262" s="1" t="n">
        <v>46216</v>
      </c>
      <c r="F262" t="inlineStr">
        <is>
          <t>KALMAR LÄN</t>
        </is>
      </c>
      <c r="G262" t="inlineStr">
        <is>
          <t>MÖNSTERÅS</t>
        </is>
      </c>
      <c r="I262" t="n">
        <v>7.5</v>
      </c>
      <c r="J262" t="n">
        <v>0</v>
      </c>
      <c r="K262" t="n">
        <v>0</v>
      </c>
      <c r="L262" t="n">
        <v>0</v>
      </c>
      <c r="M262" t="n">
        <v>0</v>
      </c>
      <c r="N262" t="n">
        <v>0</v>
      </c>
      <c r="O262" t="n">
        <v>0</v>
      </c>
      <c r="P262" t="n">
        <v>0</v>
      </c>
      <c r="Q262" t="n">
        <v>0</v>
      </c>
      <c r="R262" t="n">
        <v>0</v>
      </c>
      <c r="S262" t="n">
        <v>0</v>
      </c>
      <c r="T262" t="n">
        <v>0</v>
      </c>
      <c r="U262" s="2" t="inlineStr"/>
    </row>
    <row r="263" ht="15" customHeight="1">
      <c r="A263" t="inlineStr">
        <is>
          <t>A 35883-2022</t>
        </is>
      </c>
      <c r="B263" t="inlineStr">
        <is>
          <t>avverkningsanmälan</t>
        </is>
      </c>
      <c r="C263" t="inlineStr">
        <is>
          <t>Avverkning för annat ändamål</t>
        </is>
      </c>
      <c r="D263" s="1" t="n">
        <v>44802</v>
      </c>
      <c r="E263" s="1" t="n">
        <v>46216</v>
      </c>
      <c r="F263" t="inlineStr">
        <is>
          <t>KALMAR LÄN</t>
        </is>
      </c>
      <c r="G263" t="inlineStr">
        <is>
          <t>MÖNSTERÅS</t>
        </is>
      </c>
      <c r="I263" t="n">
        <v>7</v>
      </c>
      <c r="J263" t="n">
        <v>0</v>
      </c>
      <c r="K263" t="n">
        <v>0</v>
      </c>
      <c r="L263" t="n">
        <v>0</v>
      </c>
      <c r="M263" t="n">
        <v>0</v>
      </c>
      <c r="N263" t="n">
        <v>0</v>
      </c>
      <c r="O263" t="n">
        <v>0</v>
      </c>
      <c r="P263" t="n">
        <v>0</v>
      </c>
      <c r="Q263" t="n">
        <v>0</v>
      </c>
      <c r="R263" t="n">
        <v>0</v>
      </c>
      <c r="S263" t="n">
        <v>0</v>
      </c>
      <c r="T263" t="n">
        <v>0</v>
      </c>
      <c r="U263" s="2" t="inlineStr"/>
    </row>
    <row r="264" ht="15" customHeight="1">
      <c r="A264" t="inlineStr">
        <is>
          <t>A 19525-2026</t>
        </is>
      </c>
      <c r="B264" t="inlineStr">
        <is>
          <t>avverkningsanmälan</t>
        </is>
      </c>
      <c r="C264" t="inlineStr">
        <is>
          <t>Föryngringsavverkning</t>
        </is>
      </c>
      <c r="D264" s="1" t="n">
        <v>46134</v>
      </c>
      <c r="E264" s="1" t="n">
        <v>46216</v>
      </c>
      <c r="F264" t="inlineStr">
        <is>
          <t>KALMAR LÄN</t>
        </is>
      </c>
      <c r="G264" t="inlineStr">
        <is>
          <t>MÖNSTERÅS</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36619-2024</t>
        </is>
      </c>
      <c r="B265" t="inlineStr">
        <is>
          <t>avverkningsanmälan</t>
        </is>
      </c>
      <c r="C265" t="inlineStr">
        <is>
          <t>Föryngringsavverkning</t>
        </is>
      </c>
      <c r="D265" s="1" t="n">
        <v>45537</v>
      </c>
      <c r="E265" s="1" t="n">
        <v>46216</v>
      </c>
      <c r="F265" t="inlineStr">
        <is>
          <t>KALMAR LÄN</t>
        </is>
      </c>
      <c r="G265" t="inlineStr">
        <is>
          <t>MÖNSTERÅS</t>
        </is>
      </c>
      <c r="I265" t="n">
        <v>7.4</v>
      </c>
      <c r="J265" t="n">
        <v>0</v>
      </c>
      <c r="K265" t="n">
        <v>0</v>
      </c>
      <c r="L265" t="n">
        <v>0</v>
      </c>
      <c r="M265" t="n">
        <v>0</v>
      </c>
      <c r="N265" t="n">
        <v>0</v>
      </c>
      <c r="O265" t="n">
        <v>0</v>
      </c>
      <c r="P265" t="n">
        <v>0</v>
      </c>
      <c r="Q265" t="n">
        <v>0</v>
      </c>
      <c r="R265" t="n">
        <v>0</v>
      </c>
      <c r="S265" t="n">
        <v>0</v>
      </c>
      <c r="T265" t="n">
        <v>0</v>
      </c>
      <c r="U265" s="2" t="inlineStr"/>
    </row>
    <row r="266" ht="15" customHeight="1">
      <c r="A266" t="inlineStr">
        <is>
          <t>A 36890-2024</t>
        </is>
      </c>
      <c r="B266" t="inlineStr">
        <is>
          <t>avverkningsanmälan</t>
        </is>
      </c>
      <c r="C266" t="inlineStr">
        <is>
          <t>Föryngringsavverkning</t>
        </is>
      </c>
      <c r="D266" s="1" t="n">
        <v>45538</v>
      </c>
      <c r="E266" s="1" t="n">
        <v>46216</v>
      </c>
      <c r="F266" t="inlineStr">
        <is>
          <t>KALMAR LÄN</t>
        </is>
      </c>
      <c r="G266" t="inlineStr">
        <is>
          <t>MÖNSTERÅS</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37419-2024</t>
        </is>
      </c>
      <c r="B267" t="inlineStr">
        <is>
          <t>avverkningsanmälan</t>
        </is>
      </c>
      <c r="C267" t="inlineStr">
        <is>
          <t>Föryngringsavverkning</t>
        </is>
      </c>
      <c r="D267" s="1" t="n">
        <v>45540</v>
      </c>
      <c r="E267" s="1" t="n">
        <v>46216</v>
      </c>
      <c r="F267" t="inlineStr">
        <is>
          <t>KALMAR LÄN</t>
        </is>
      </c>
      <c r="G267" t="inlineStr">
        <is>
          <t>MÖNSTERÅS</t>
        </is>
      </c>
      <c r="I267" t="n">
        <v>7.5</v>
      </c>
      <c r="J267" t="n">
        <v>0</v>
      </c>
      <c r="K267" t="n">
        <v>0</v>
      </c>
      <c r="L267" t="n">
        <v>0</v>
      </c>
      <c r="M267" t="n">
        <v>0</v>
      </c>
      <c r="N267" t="n">
        <v>0</v>
      </c>
      <c r="O267" t="n">
        <v>0</v>
      </c>
      <c r="P267" t="n">
        <v>0</v>
      </c>
      <c r="Q267" t="n">
        <v>0</v>
      </c>
      <c r="R267" t="n">
        <v>0</v>
      </c>
      <c r="S267" t="n">
        <v>0</v>
      </c>
      <c r="T267" t="n">
        <v>0</v>
      </c>
      <c r="U267" s="2" t="inlineStr"/>
    </row>
    <row r="268" ht="15" customHeight="1">
      <c r="A268" t="inlineStr">
        <is>
          <t>A 62638-2023</t>
        </is>
      </c>
      <c r="B268" t="inlineStr">
        <is>
          <t>avverkningsanmälan</t>
        </is>
      </c>
      <c r="C268" t="inlineStr">
        <is>
          <t>Föryngringsavverkning</t>
        </is>
      </c>
      <c r="D268" s="1" t="n">
        <v>45271</v>
      </c>
      <c r="E268" s="1" t="n">
        <v>46216</v>
      </c>
      <c r="F268" t="inlineStr">
        <is>
          <t>KALMAR LÄN</t>
        </is>
      </c>
      <c r="G268" t="inlineStr">
        <is>
          <t>MÖNSTERÅS</t>
        </is>
      </c>
      <c r="I268" t="n">
        <v>8.300000000000001</v>
      </c>
      <c r="J268" t="n">
        <v>0</v>
      </c>
      <c r="K268" t="n">
        <v>0</v>
      </c>
      <c r="L268" t="n">
        <v>0</v>
      </c>
      <c r="M268" t="n">
        <v>0</v>
      </c>
      <c r="N268" t="n">
        <v>0</v>
      </c>
      <c r="O268" t="n">
        <v>0</v>
      </c>
      <c r="P268" t="n">
        <v>0</v>
      </c>
      <c r="Q268" t="n">
        <v>0</v>
      </c>
      <c r="R268" t="n">
        <v>0</v>
      </c>
      <c r="S268" t="n">
        <v>0</v>
      </c>
      <c r="T268" t="n">
        <v>0</v>
      </c>
      <c r="U268" s="2" t="inlineStr"/>
    </row>
    <row r="269" ht="15" customHeight="1">
      <c r="A269" t="inlineStr">
        <is>
          <t>A 14900-2023</t>
        </is>
      </c>
      <c r="B269" t="inlineStr">
        <is>
          <t>avverkningsanmälan</t>
        </is>
      </c>
      <c r="C269" t="inlineStr">
        <is>
          <t>Föryngringsavverkning</t>
        </is>
      </c>
      <c r="D269" s="1" t="n">
        <v>45015</v>
      </c>
      <c r="E269" s="1" t="n">
        <v>46216</v>
      </c>
      <c r="F269" t="inlineStr">
        <is>
          <t>KALMAR LÄN</t>
        </is>
      </c>
      <c r="G269" t="inlineStr">
        <is>
          <t>MÖNSTERÅS</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59559-2025</t>
        </is>
      </c>
      <c r="B270" t="inlineStr">
        <is>
          <t>avverkningsanmälan</t>
        </is>
      </c>
      <c r="C270" t="inlineStr">
        <is>
          <t>Föryngringsavverkning</t>
        </is>
      </c>
      <c r="D270" s="1" t="n">
        <v>45991</v>
      </c>
      <c r="E270" s="1" t="n">
        <v>46216</v>
      </c>
      <c r="F270" t="inlineStr">
        <is>
          <t>KALMAR LÄN</t>
        </is>
      </c>
      <c r="G270" t="inlineStr">
        <is>
          <t>MÖNSTERÅS</t>
        </is>
      </c>
      <c r="H270" t="inlineStr">
        <is>
          <t>Övriga Aktiebolag</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4981-2022</t>
        </is>
      </c>
      <c r="B271" t="inlineStr">
        <is>
          <t>avverkningsanmälan</t>
        </is>
      </c>
      <c r="C271" t="inlineStr">
        <is>
          <t>Föryngringsavverkning</t>
        </is>
      </c>
      <c r="D271" s="1" t="n">
        <v>44593</v>
      </c>
      <c r="E271" s="1" t="n">
        <v>46216</v>
      </c>
      <c r="F271" t="inlineStr">
        <is>
          <t>KALMAR LÄN</t>
        </is>
      </c>
      <c r="G271" t="inlineStr">
        <is>
          <t>MÖNSTERÅS</t>
        </is>
      </c>
      <c r="I271" t="n">
        <v>3.6</v>
      </c>
      <c r="J271" t="n">
        <v>0</v>
      </c>
      <c r="K271" t="n">
        <v>0</v>
      </c>
      <c r="L271" t="n">
        <v>0</v>
      </c>
      <c r="M271" t="n">
        <v>0</v>
      </c>
      <c r="N271" t="n">
        <v>0</v>
      </c>
      <c r="O271" t="n">
        <v>0</v>
      </c>
      <c r="P271" t="n">
        <v>0</v>
      </c>
      <c r="Q271" t="n">
        <v>0</v>
      </c>
      <c r="R271" t="n">
        <v>0</v>
      </c>
      <c r="S271" t="n">
        <v>0</v>
      </c>
      <c r="T271" t="n">
        <v>0</v>
      </c>
      <c r="U271" s="2" t="inlineStr"/>
    </row>
    <row r="272" ht="15" customHeight="1">
      <c r="A272" t="inlineStr">
        <is>
          <t>A 25205-2023</t>
        </is>
      </c>
      <c r="B272" t="inlineStr">
        <is>
          <t>avverkningsanmälan</t>
        </is>
      </c>
      <c r="C272" t="inlineStr">
        <is>
          <t>Föryngringsavverkning</t>
        </is>
      </c>
      <c r="D272" s="1" t="n">
        <v>45086</v>
      </c>
      <c r="E272" s="1" t="n">
        <v>46216</v>
      </c>
      <c r="F272" t="inlineStr">
        <is>
          <t>KALMAR LÄN</t>
        </is>
      </c>
      <c r="G272" t="inlineStr">
        <is>
          <t>MÖNSTERÅS</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51532-2022</t>
        </is>
      </c>
      <c r="B273" t="inlineStr">
        <is>
          <t>avverkningsanmälan</t>
        </is>
      </c>
      <c r="C273" t="inlineStr">
        <is>
          <t>Föryngringsavverkning</t>
        </is>
      </c>
      <c r="D273" s="1" t="n">
        <v>44869</v>
      </c>
      <c r="E273" s="1" t="n">
        <v>46216</v>
      </c>
      <c r="F273" t="inlineStr">
        <is>
          <t>KALMAR LÄN</t>
        </is>
      </c>
      <c r="G273" t="inlineStr">
        <is>
          <t>MÖNSTERÅS</t>
        </is>
      </c>
      <c r="I273" t="n">
        <v>4.9</v>
      </c>
      <c r="J273" t="n">
        <v>0</v>
      </c>
      <c r="K273" t="n">
        <v>0</v>
      </c>
      <c r="L273" t="n">
        <v>0</v>
      </c>
      <c r="M273" t="n">
        <v>0</v>
      </c>
      <c r="N273" t="n">
        <v>0</v>
      </c>
      <c r="O273" t="n">
        <v>0</v>
      </c>
      <c r="P273" t="n">
        <v>0</v>
      </c>
      <c r="Q273" t="n">
        <v>0</v>
      </c>
      <c r="R273" t="n">
        <v>0</v>
      </c>
      <c r="S273" t="n">
        <v>0</v>
      </c>
      <c r="T273" t="n">
        <v>0</v>
      </c>
      <c r="U273" s="2" t="inlineStr"/>
    </row>
    <row r="274" ht="15" customHeight="1">
      <c r="A274" t="inlineStr">
        <is>
          <t>A 62204-2022</t>
        </is>
      </c>
      <c r="B274" t="inlineStr">
        <is>
          <t>avverkningsanmälan</t>
        </is>
      </c>
      <c r="C274" t="inlineStr">
        <is>
          <t>Föryngringsavverkning</t>
        </is>
      </c>
      <c r="D274" s="1" t="n">
        <v>44922</v>
      </c>
      <c r="E274" s="1" t="n">
        <v>46216</v>
      </c>
      <c r="F274" t="inlineStr">
        <is>
          <t>KALMAR LÄN</t>
        </is>
      </c>
      <c r="G274" t="inlineStr">
        <is>
          <t>MÖNSTERÅS</t>
        </is>
      </c>
      <c r="I274" t="n">
        <v>5.7</v>
      </c>
      <c r="J274" t="n">
        <v>0</v>
      </c>
      <c r="K274" t="n">
        <v>0</v>
      </c>
      <c r="L274" t="n">
        <v>0</v>
      </c>
      <c r="M274" t="n">
        <v>0</v>
      </c>
      <c r="N274" t="n">
        <v>0</v>
      </c>
      <c r="O274" t="n">
        <v>0</v>
      </c>
      <c r="P274" t="n">
        <v>0</v>
      </c>
      <c r="Q274" t="n">
        <v>0</v>
      </c>
      <c r="R274" t="n">
        <v>0</v>
      </c>
      <c r="S274" t="n">
        <v>0</v>
      </c>
      <c r="T274" t="n">
        <v>0</v>
      </c>
      <c r="U274" s="2" t="inlineStr"/>
    </row>
    <row r="275" ht="15" customHeight="1">
      <c r="A275" t="inlineStr">
        <is>
          <t>A 776-2023</t>
        </is>
      </c>
      <c r="B275" t="inlineStr">
        <is>
          <t>avverkningsanmälan</t>
        </is>
      </c>
      <c r="C275" t="inlineStr">
        <is>
          <t>Föryngringsavverkning</t>
        </is>
      </c>
      <c r="D275" s="1" t="n">
        <v>44931</v>
      </c>
      <c r="E275" s="1" t="n">
        <v>46216</v>
      </c>
      <c r="F275" t="inlineStr">
        <is>
          <t>KALMAR LÄN</t>
        </is>
      </c>
      <c r="G275" t="inlineStr">
        <is>
          <t>MÖNSTERÅS</t>
        </is>
      </c>
      <c r="I275" t="n">
        <v>5</v>
      </c>
      <c r="J275" t="n">
        <v>0</v>
      </c>
      <c r="K275" t="n">
        <v>0</v>
      </c>
      <c r="L275" t="n">
        <v>0</v>
      </c>
      <c r="M275" t="n">
        <v>0</v>
      </c>
      <c r="N275" t="n">
        <v>0</v>
      </c>
      <c r="O275" t="n">
        <v>0</v>
      </c>
      <c r="P275" t="n">
        <v>0</v>
      </c>
      <c r="Q275" t="n">
        <v>0</v>
      </c>
      <c r="R275" t="n">
        <v>0</v>
      </c>
      <c r="S275" t="n">
        <v>0</v>
      </c>
      <c r="T275" t="n">
        <v>0</v>
      </c>
      <c r="U275" s="2" t="inlineStr"/>
    </row>
    <row r="276" ht="15" customHeight="1">
      <c r="A276" t="inlineStr">
        <is>
          <t>A 13964-2025</t>
        </is>
      </c>
      <c r="B276" t="inlineStr">
        <is>
          <t>avverkningsanmälan</t>
        </is>
      </c>
      <c r="C276" t="inlineStr">
        <is>
          <t>Avverkning för annat ändamål</t>
        </is>
      </c>
      <c r="D276" s="1" t="n">
        <v>45738</v>
      </c>
      <c r="E276" s="1" t="n">
        <v>46216</v>
      </c>
      <c r="F276" t="inlineStr">
        <is>
          <t>KALMAR LÄN</t>
        </is>
      </c>
      <c r="G276" t="inlineStr">
        <is>
          <t>MÖNSTERÅS</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13967-2025</t>
        </is>
      </c>
      <c r="B277" t="inlineStr">
        <is>
          <t>avverkningsanmälan</t>
        </is>
      </c>
      <c r="C277" t="inlineStr">
        <is>
          <t>Avverkning för annat ändamål</t>
        </is>
      </c>
      <c r="D277" s="1" t="n">
        <v>45738</v>
      </c>
      <c r="E277" s="1" t="n">
        <v>46216</v>
      </c>
      <c r="F277" t="inlineStr">
        <is>
          <t>KALMAR LÄN</t>
        </is>
      </c>
      <c r="G277" t="inlineStr">
        <is>
          <t>MÖNSTERÅS</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40188-2023</t>
        </is>
      </c>
      <c r="B278" t="inlineStr">
        <is>
          <t>avverkningsanmälan</t>
        </is>
      </c>
      <c r="C278" t="inlineStr">
        <is>
          <t>Föryngringsavverkning</t>
        </is>
      </c>
      <c r="D278" s="1" t="n">
        <v>45169</v>
      </c>
      <c r="E278" s="1" t="n">
        <v>46216</v>
      </c>
      <c r="F278" t="inlineStr">
        <is>
          <t>KALMAR LÄN</t>
        </is>
      </c>
      <c r="G278" t="inlineStr">
        <is>
          <t>MÖNSTERÅS</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52963-2024</t>
        </is>
      </c>
      <c r="B279" t="inlineStr">
        <is>
          <t>avverkningsanmälan</t>
        </is>
      </c>
      <c r="C279" t="inlineStr">
        <is>
          <t>Föryngringsavverkning</t>
        </is>
      </c>
      <c r="D279" s="1" t="n">
        <v>45611</v>
      </c>
      <c r="E279" s="1" t="n">
        <v>46216</v>
      </c>
      <c r="F279" t="inlineStr">
        <is>
          <t>KALMAR LÄN</t>
        </is>
      </c>
      <c r="G279" t="inlineStr">
        <is>
          <t>MÖNSTERÅS</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37235-2024</t>
        </is>
      </c>
      <c r="B280" t="inlineStr">
        <is>
          <t>avverkningsanmälan</t>
        </is>
      </c>
      <c r="C280" t="inlineStr">
        <is>
          <t>Föryngringsavverkning</t>
        </is>
      </c>
      <c r="D280" s="1" t="n">
        <v>45540</v>
      </c>
      <c r="E280" s="1" t="n">
        <v>46216</v>
      </c>
      <c r="F280" t="inlineStr">
        <is>
          <t>KALMAR LÄN</t>
        </is>
      </c>
      <c r="G280" t="inlineStr">
        <is>
          <t>MÖNSTERÅS</t>
        </is>
      </c>
      <c r="I280" t="n">
        <v>7</v>
      </c>
      <c r="J280" t="n">
        <v>0</v>
      </c>
      <c r="K280" t="n">
        <v>0</v>
      </c>
      <c r="L280" t="n">
        <v>0</v>
      </c>
      <c r="M280" t="n">
        <v>0</v>
      </c>
      <c r="N280" t="n">
        <v>0</v>
      </c>
      <c r="O280" t="n">
        <v>0</v>
      </c>
      <c r="P280" t="n">
        <v>0</v>
      </c>
      <c r="Q280" t="n">
        <v>0</v>
      </c>
      <c r="R280" t="n">
        <v>0</v>
      </c>
      <c r="S280" t="n">
        <v>0</v>
      </c>
      <c r="T280" t="n">
        <v>0</v>
      </c>
      <c r="U280" s="2" t="inlineStr"/>
    </row>
    <row r="281" ht="15" customHeight="1">
      <c r="A281" t="inlineStr">
        <is>
          <t>A 63355-2023</t>
        </is>
      </c>
      <c r="B281" t="inlineStr">
        <is>
          <t>avverkningsanmälan</t>
        </is>
      </c>
      <c r="C281" t="inlineStr">
        <is>
          <t>Föryngringsavverkning</t>
        </is>
      </c>
      <c r="D281" s="1" t="n">
        <v>45274</v>
      </c>
      <c r="E281" s="1" t="n">
        <v>46216</v>
      </c>
      <c r="F281" t="inlineStr">
        <is>
          <t>KALMAR LÄN</t>
        </is>
      </c>
      <c r="G281" t="inlineStr">
        <is>
          <t>MÖNSTERÅS</t>
        </is>
      </c>
      <c r="I281" t="n">
        <v>8.199999999999999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10104-2022</t>
        </is>
      </c>
      <c r="B282" t="inlineStr">
        <is>
          <t>avverkningsanmälan</t>
        </is>
      </c>
      <c r="C282" t="inlineStr">
        <is>
          <t>Föryngringsavverkning</t>
        </is>
      </c>
      <c r="D282" s="1" t="n">
        <v>44621</v>
      </c>
      <c r="E282" s="1" t="n">
        <v>46216</v>
      </c>
      <c r="F282" t="inlineStr">
        <is>
          <t>KALMAR LÄN</t>
        </is>
      </c>
      <c r="G282" t="inlineStr">
        <is>
          <t>MÖNSTERÅS</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18857-2025</t>
        </is>
      </c>
      <c r="B283" t="inlineStr">
        <is>
          <t>avverkningsanmälan</t>
        </is>
      </c>
      <c r="C283" t="inlineStr">
        <is>
          <t>Föryngringsavverkning</t>
        </is>
      </c>
      <c r="D283" s="1" t="n">
        <v>45764</v>
      </c>
      <c r="E283" s="1" t="n">
        <v>46216</v>
      </c>
      <c r="F283" t="inlineStr">
        <is>
          <t>KALMAR LÄN</t>
        </is>
      </c>
      <c r="G283" t="inlineStr">
        <is>
          <t>MÖNSTERÅS</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16428-2023</t>
        </is>
      </c>
      <c r="B284" t="inlineStr">
        <is>
          <t>avverkningsanmälan</t>
        </is>
      </c>
      <c r="C284" t="inlineStr">
        <is>
          <t>Föryngringsavverkning</t>
        </is>
      </c>
      <c r="D284" s="1" t="n">
        <v>45022</v>
      </c>
      <c r="E284" s="1" t="n">
        <v>46216</v>
      </c>
      <c r="F284" t="inlineStr">
        <is>
          <t>KALMAR LÄN</t>
        </is>
      </c>
      <c r="G284" t="inlineStr">
        <is>
          <t>MÖNSTERÅS</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19934-2026</t>
        </is>
      </c>
      <c r="B285" t="inlineStr">
        <is>
          <t>avverkningsanmälan</t>
        </is>
      </c>
      <c r="C285" t="inlineStr">
        <is>
          <t>Föryngringsavverkning</t>
        </is>
      </c>
      <c r="D285" s="1" t="n">
        <v>46136</v>
      </c>
      <c r="E285" s="1" t="n">
        <v>46216</v>
      </c>
      <c r="F285" t="inlineStr">
        <is>
          <t>KALMAR LÄN</t>
        </is>
      </c>
      <c r="G285" t="inlineStr">
        <is>
          <t>MÖNSTERÅS</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61127-2022</t>
        </is>
      </c>
      <c r="B286" t="inlineStr">
        <is>
          <t>avverkningsanmälan</t>
        </is>
      </c>
      <c r="C286" t="inlineStr">
        <is>
          <t>Föryngringsavverkning</t>
        </is>
      </c>
      <c r="D286" s="1" t="n">
        <v>44915</v>
      </c>
      <c r="E286" s="1" t="n">
        <v>46216</v>
      </c>
      <c r="F286" t="inlineStr">
        <is>
          <t>KALMAR LÄN</t>
        </is>
      </c>
      <c r="G286" t="inlineStr">
        <is>
          <t>MÖNSTERÅS</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36908-2024</t>
        </is>
      </c>
      <c r="B287" t="inlineStr">
        <is>
          <t>avverkningsanmälan</t>
        </is>
      </c>
      <c r="C287" t="inlineStr">
        <is>
          <t>Föryngringsavverkning</t>
        </is>
      </c>
      <c r="D287" s="1" t="n">
        <v>45538</v>
      </c>
      <c r="E287" s="1" t="n">
        <v>46216</v>
      </c>
      <c r="F287" t="inlineStr">
        <is>
          <t>KALMAR LÄN</t>
        </is>
      </c>
      <c r="G287" t="inlineStr">
        <is>
          <t>MÖNSTERÅS</t>
        </is>
      </c>
      <c r="I287" t="n">
        <v>19.2</v>
      </c>
      <c r="J287" t="n">
        <v>0</v>
      </c>
      <c r="K287" t="n">
        <v>0</v>
      </c>
      <c r="L287" t="n">
        <v>0</v>
      </c>
      <c r="M287" t="n">
        <v>0</v>
      </c>
      <c r="N287" t="n">
        <v>0</v>
      </c>
      <c r="O287" t="n">
        <v>0</v>
      </c>
      <c r="P287" t="n">
        <v>0</v>
      </c>
      <c r="Q287" t="n">
        <v>0</v>
      </c>
      <c r="R287" t="n">
        <v>0</v>
      </c>
      <c r="S287" t="n">
        <v>0</v>
      </c>
      <c r="T287" t="n">
        <v>0</v>
      </c>
      <c r="U287" s="2" t="inlineStr"/>
    </row>
    <row r="288" ht="15" customHeight="1">
      <c r="A288" t="inlineStr">
        <is>
          <t>A 4472-2025</t>
        </is>
      </c>
      <c r="B288" t="inlineStr">
        <is>
          <t>avverkningsanmälan</t>
        </is>
      </c>
      <c r="C288" t="inlineStr">
        <is>
          <t>Föryngringsavverkning</t>
        </is>
      </c>
      <c r="D288" s="1" t="n">
        <v>45686</v>
      </c>
      <c r="E288" s="1" t="n">
        <v>46216</v>
      </c>
      <c r="F288" t="inlineStr">
        <is>
          <t>KALMAR LÄN</t>
        </is>
      </c>
      <c r="G288" t="inlineStr">
        <is>
          <t>MÖNSTERÅS</t>
        </is>
      </c>
      <c r="I288" t="n">
        <v>4.2</v>
      </c>
      <c r="J288" t="n">
        <v>0</v>
      </c>
      <c r="K288" t="n">
        <v>0</v>
      </c>
      <c r="L288" t="n">
        <v>0</v>
      </c>
      <c r="M288" t="n">
        <v>0</v>
      </c>
      <c r="N288" t="n">
        <v>0</v>
      </c>
      <c r="O288" t="n">
        <v>0</v>
      </c>
      <c r="P288" t="n">
        <v>0</v>
      </c>
      <c r="Q288" t="n">
        <v>0</v>
      </c>
      <c r="R288" t="n">
        <v>0</v>
      </c>
      <c r="S288" t="n">
        <v>0</v>
      </c>
      <c r="T288" t="n">
        <v>0</v>
      </c>
      <c r="U288" s="2" t="inlineStr"/>
    </row>
    <row r="289" ht="15" customHeight="1">
      <c r="A289" t="inlineStr">
        <is>
          <t>A 61197-2022</t>
        </is>
      </c>
      <c r="B289" t="inlineStr">
        <is>
          <t>avverkningsanmälan</t>
        </is>
      </c>
      <c r="C289" t="inlineStr">
        <is>
          <t>Föryngringsavverkning</t>
        </is>
      </c>
      <c r="D289" s="1" t="n">
        <v>44915</v>
      </c>
      <c r="E289" s="1" t="n">
        <v>46216</v>
      </c>
      <c r="F289" t="inlineStr">
        <is>
          <t>KALMAR LÄN</t>
        </is>
      </c>
      <c r="G289" t="inlineStr">
        <is>
          <t>MÖNSTERÅS</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61204-2022</t>
        </is>
      </c>
      <c r="B290" t="inlineStr">
        <is>
          <t>avverkningsanmälan</t>
        </is>
      </c>
      <c r="C290" t="inlineStr">
        <is>
          <t>Föryngringsavverkning</t>
        </is>
      </c>
      <c r="D290" s="1" t="n">
        <v>44915</v>
      </c>
      <c r="E290" s="1" t="n">
        <v>46216</v>
      </c>
      <c r="F290" t="inlineStr">
        <is>
          <t>KALMAR LÄN</t>
        </is>
      </c>
      <c r="G290" t="inlineStr">
        <is>
          <t>MÖNSTERÅS</t>
        </is>
      </c>
      <c r="I290" t="n">
        <v>5.7</v>
      </c>
      <c r="J290" t="n">
        <v>0</v>
      </c>
      <c r="K290" t="n">
        <v>0</v>
      </c>
      <c r="L290" t="n">
        <v>0</v>
      </c>
      <c r="M290" t="n">
        <v>0</v>
      </c>
      <c r="N290" t="n">
        <v>0</v>
      </c>
      <c r="O290" t="n">
        <v>0</v>
      </c>
      <c r="P290" t="n">
        <v>0</v>
      </c>
      <c r="Q290" t="n">
        <v>0</v>
      </c>
      <c r="R290" t="n">
        <v>0</v>
      </c>
      <c r="S290" t="n">
        <v>0</v>
      </c>
      <c r="T290" t="n">
        <v>0</v>
      </c>
      <c r="U290" s="2" t="inlineStr"/>
    </row>
    <row r="291" ht="15" customHeight="1">
      <c r="A291" t="inlineStr">
        <is>
          <t>A 19280-2025</t>
        </is>
      </c>
      <c r="B291" t="inlineStr">
        <is>
          <t>avverkningsanmälan</t>
        </is>
      </c>
      <c r="C291" t="inlineStr">
        <is>
          <t>Föryngringsavverkning</t>
        </is>
      </c>
      <c r="D291" s="1" t="n">
        <v>45769</v>
      </c>
      <c r="E291" s="1" t="n">
        <v>46216</v>
      </c>
      <c r="F291" t="inlineStr">
        <is>
          <t>KALMAR LÄN</t>
        </is>
      </c>
      <c r="G291" t="inlineStr">
        <is>
          <t>MÖNSTERÅS</t>
        </is>
      </c>
      <c r="I291" t="n">
        <v>7.4</v>
      </c>
      <c r="J291" t="n">
        <v>0</v>
      </c>
      <c r="K291" t="n">
        <v>0</v>
      </c>
      <c r="L291" t="n">
        <v>0</v>
      </c>
      <c r="M291" t="n">
        <v>0</v>
      </c>
      <c r="N291" t="n">
        <v>0</v>
      </c>
      <c r="O291" t="n">
        <v>0</v>
      </c>
      <c r="P291" t="n">
        <v>0</v>
      </c>
      <c r="Q291" t="n">
        <v>0</v>
      </c>
      <c r="R291" t="n">
        <v>0</v>
      </c>
      <c r="S291" t="n">
        <v>0</v>
      </c>
      <c r="T291" t="n">
        <v>0</v>
      </c>
      <c r="U291" s="2" t="inlineStr"/>
    </row>
    <row r="292" ht="15" customHeight="1">
      <c r="A292" t="inlineStr">
        <is>
          <t>A 34344-2023</t>
        </is>
      </c>
      <c r="B292" t="inlineStr">
        <is>
          <t>avverkningsanmälan</t>
        </is>
      </c>
      <c r="C292" t="inlineStr">
        <is>
          <t>Avverkning för annat ändamål</t>
        </is>
      </c>
      <c r="D292" s="1" t="n">
        <v>45139</v>
      </c>
      <c r="E292" s="1" t="n">
        <v>46216</v>
      </c>
      <c r="F292" t="inlineStr">
        <is>
          <t>KALMAR LÄN</t>
        </is>
      </c>
      <c r="G292" t="inlineStr">
        <is>
          <t>MÖNSTERÅS</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19930-2026</t>
        </is>
      </c>
      <c r="B293" t="inlineStr">
        <is>
          <t>avverkningsanmälan</t>
        </is>
      </c>
      <c r="C293" t="inlineStr">
        <is>
          <t>Föryngringsavverkning</t>
        </is>
      </c>
      <c r="D293" s="1" t="n">
        <v>46136</v>
      </c>
      <c r="E293" s="1" t="n">
        <v>46216</v>
      </c>
      <c r="F293" t="inlineStr">
        <is>
          <t>KALMAR LÄN</t>
        </is>
      </c>
      <c r="G293" t="inlineStr">
        <is>
          <t>MÖNSTERÅS</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19933-2026</t>
        </is>
      </c>
      <c r="B294" t="inlineStr">
        <is>
          <t>avverkningsanmälan</t>
        </is>
      </c>
      <c r="C294" t="inlineStr">
        <is>
          <t>Föryngringsavverkning</t>
        </is>
      </c>
      <c r="D294" s="1" t="n">
        <v>46136</v>
      </c>
      <c r="E294" s="1" t="n">
        <v>46216</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39158-2022</t>
        </is>
      </c>
      <c r="B295" t="inlineStr">
        <is>
          <t>avverkningsanmälan</t>
        </is>
      </c>
      <c r="C295" t="inlineStr">
        <is>
          <t>Avverkning för annat ändamål</t>
        </is>
      </c>
      <c r="D295" s="1" t="n">
        <v>44817</v>
      </c>
      <c r="E295" s="1" t="n">
        <v>46216</v>
      </c>
      <c r="F295" t="inlineStr">
        <is>
          <t>KALMAR LÄN</t>
        </is>
      </c>
      <c r="G295" t="inlineStr">
        <is>
          <t>MÖNSTERÅS</t>
        </is>
      </c>
      <c r="I295" t="n">
        <v>2.4</v>
      </c>
      <c r="J295" t="n">
        <v>0</v>
      </c>
      <c r="K295" t="n">
        <v>0</v>
      </c>
      <c r="L295" t="n">
        <v>0</v>
      </c>
      <c r="M295" t="n">
        <v>0</v>
      </c>
      <c r="N295" t="n">
        <v>0</v>
      </c>
      <c r="O295" t="n">
        <v>0</v>
      </c>
      <c r="P295" t="n">
        <v>0</v>
      </c>
      <c r="Q295" t="n">
        <v>0</v>
      </c>
      <c r="R295" t="n">
        <v>0</v>
      </c>
      <c r="S295" t="n">
        <v>0</v>
      </c>
      <c r="T295" t="n">
        <v>0</v>
      </c>
      <c r="U295" s="2" t="inlineStr"/>
    </row>
    <row r="296" ht="15" customHeight="1">
      <c r="A296" t="inlineStr">
        <is>
          <t>A 9132-2026</t>
        </is>
      </c>
      <c r="B296" t="inlineStr">
        <is>
          <t>avverkningsanmälan</t>
        </is>
      </c>
      <c r="C296" t="inlineStr">
        <is>
          <t>Föryngringsavverkning</t>
        </is>
      </c>
      <c r="D296" s="1" t="n">
        <v>46069</v>
      </c>
      <c r="E296" s="1" t="n">
        <v>46216</v>
      </c>
      <c r="F296" t="inlineStr">
        <is>
          <t>KALMAR LÄN</t>
        </is>
      </c>
      <c r="G296" t="inlineStr">
        <is>
          <t>MÖNSTERÅS</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4981-2022</t>
        </is>
      </c>
      <c r="B297" t="inlineStr">
        <is>
          <t>avverkningsanmälan</t>
        </is>
      </c>
      <c r="C297" t="inlineStr">
        <is>
          <t>Föryngringsavverkning</t>
        </is>
      </c>
      <c r="D297" s="1" t="n">
        <v>44593</v>
      </c>
      <c r="E297" s="1" t="n">
        <v>46216</v>
      </c>
      <c r="F297" t="inlineStr">
        <is>
          <t>KALMAR LÄN</t>
        </is>
      </c>
      <c r="G297" t="inlineStr">
        <is>
          <t>MÖNSTERÅS</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62283-2022</t>
        </is>
      </c>
      <c r="B298" t="inlineStr">
        <is>
          <t>avverkningsanmälan</t>
        </is>
      </c>
      <c r="C298" t="inlineStr">
        <is>
          <t>Föryngringsavverkning</t>
        </is>
      </c>
      <c r="D298" s="1" t="n">
        <v>44923</v>
      </c>
      <c r="E298" s="1" t="n">
        <v>46216</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5386-2026</t>
        </is>
      </c>
      <c r="B299" t="inlineStr">
        <is>
          <t>avverkningsanmälan</t>
        </is>
      </c>
      <c r="C299" t="inlineStr">
        <is>
          <t>Föryngringsavverkning</t>
        </is>
      </c>
      <c r="D299" s="1" t="n">
        <v>46050</v>
      </c>
      <c r="E299" s="1" t="n">
        <v>46216</v>
      </c>
      <c r="F299" t="inlineStr">
        <is>
          <t>KALMAR LÄN</t>
        </is>
      </c>
      <c r="G299" t="inlineStr">
        <is>
          <t>MÖNSTERÅS</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51478-2022</t>
        </is>
      </c>
      <c r="B300" t="inlineStr">
        <is>
          <t>avverkningsanmälan</t>
        </is>
      </c>
      <c r="C300" t="inlineStr">
        <is>
          <t>Föryngringsavverkning</t>
        </is>
      </c>
      <c r="D300" s="1" t="n">
        <v>44869</v>
      </c>
      <c r="E300" s="1" t="n">
        <v>46216</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4474-2025</t>
        </is>
      </c>
      <c r="B301" t="inlineStr">
        <is>
          <t>avverkningsanmälan</t>
        </is>
      </c>
      <c r="C301" t="inlineStr">
        <is>
          <t>Föryngringsavverkning</t>
        </is>
      </c>
      <c r="D301" s="1" t="n">
        <v>45686</v>
      </c>
      <c r="E301" s="1" t="n">
        <v>46216</v>
      </c>
      <c r="F301" t="inlineStr">
        <is>
          <t>KALMAR LÄN</t>
        </is>
      </c>
      <c r="G301" t="inlineStr">
        <is>
          <t>MÖNSTERÅS</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45066-2024</t>
        </is>
      </c>
      <c r="B302" t="inlineStr">
        <is>
          <t>avverkningsanmälan</t>
        </is>
      </c>
      <c r="C302" t="inlineStr">
        <is>
          <t>Föryngringsavverkning</t>
        </is>
      </c>
      <c r="D302" s="1" t="n">
        <v>45575</v>
      </c>
      <c r="E302" s="1" t="n">
        <v>46216</v>
      </c>
      <c r="F302" t="inlineStr">
        <is>
          <t>KALMAR LÄN</t>
        </is>
      </c>
      <c r="G302" t="inlineStr">
        <is>
          <t>MÖNSTERÅS</t>
        </is>
      </c>
      <c r="I302" t="n">
        <v>5.1</v>
      </c>
      <c r="J302" t="n">
        <v>0</v>
      </c>
      <c r="K302" t="n">
        <v>0</v>
      </c>
      <c r="L302" t="n">
        <v>0</v>
      </c>
      <c r="M302" t="n">
        <v>0</v>
      </c>
      <c r="N302" t="n">
        <v>0</v>
      </c>
      <c r="O302" t="n">
        <v>0</v>
      </c>
      <c r="P302" t="n">
        <v>0</v>
      </c>
      <c r="Q302" t="n">
        <v>0</v>
      </c>
      <c r="R302" t="n">
        <v>0</v>
      </c>
      <c r="S302" t="n">
        <v>0</v>
      </c>
      <c r="T302" t="n">
        <v>0</v>
      </c>
      <c r="U302" s="2" t="inlineStr"/>
    </row>
    <row r="303" ht="15" customHeight="1">
      <c r="A303" t="inlineStr">
        <is>
          <t>A 4268-2025</t>
        </is>
      </c>
      <c r="B303" t="inlineStr">
        <is>
          <t>avverkningsanmälan</t>
        </is>
      </c>
      <c r="C303" t="inlineStr">
        <is>
          <t>Föryngringsavverkning</t>
        </is>
      </c>
      <c r="D303" s="1" t="n">
        <v>45685</v>
      </c>
      <c r="E303" s="1" t="n">
        <v>46216</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70680-2021</t>
        </is>
      </c>
      <c r="B304" t="inlineStr">
        <is>
          <t>avverkningsanmälan</t>
        </is>
      </c>
      <c r="C304" t="inlineStr">
        <is>
          <t>Föryngringsavverkning</t>
        </is>
      </c>
      <c r="D304" s="1" t="n">
        <v>44537</v>
      </c>
      <c r="E304" s="1" t="n">
        <v>46216</v>
      </c>
      <c r="F304" t="inlineStr">
        <is>
          <t>KALMAR LÄN</t>
        </is>
      </c>
      <c r="G304" t="inlineStr">
        <is>
          <t>MÖNSTERÅS</t>
        </is>
      </c>
      <c r="I304" t="n">
        <v>6.6</v>
      </c>
      <c r="J304" t="n">
        <v>0</v>
      </c>
      <c r="K304" t="n">
        <v>0</v>
      </c>
      <c r="L304" t="n">
        <v>0</v>
      </c>
      <c r="M304" t="n">
        <v>0</v>
      </c>
      <c r="N304" t="n">
        <v>0</v>
      </c>
      <c r="O304" t="n">
        <v>0</v>
      </c>
      <c r="P304" t="n">
        <v>0</v>
      </c>
      <c r="Q304" t="n">
        <v>0</v>
      </c>
      <c r="R304" t="n">
        <v>0</v>
      </c>
      <c r="S304" t="n">
        <v>0</v>
      </c>
      <c r="T304" t="n">
        <v>0</v>
      </c>
      <c r="U304" s="2" t="inlineStr"/>
    </row>
    <row r="305" ht="15" customHeight="1">
      <c r="A305" t="inlineStr">
        <is>
          <t>A 50913-2023</t>
        </is>
      </c>
      <c r="B305" t="inlineStr">
        <is>
          <t>avverkningsanmälan</t>
        </is>
      </c>
      <c r="C305" t="inlineStr">
        <is>
          <t>Avverkning för annat ändamål</t>
        </is>
      </c>
      <c r="D305" s="1" t="n">
        <v>45218</v>
      </c>
      <c r="E305" s="1" t="n">
        <v>46216</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36900-2024</t>
        </is>
      </c>
      <c r="B306" t="inlineStr">
        <is>
          <t>avverkningsanmälan</t>
        </is>
      </c>
      <c r="C306" t="inlineStr">
        <is>
          <t>Föryngringsavverkning</t>
        </is>
      </c>
      <c r="D306" s="1" t="n">
        <v>45538</v>
      </c>
      <c r="E306" s="1" t="n">
        <v>46216</v>
      </c>
      <c r="F306" t="inlineStr">
        <is>
          <t>KALMAR LÄN</t>
        </is>
      </c>
      <c r="G306" t="inlineStr">
        <is>
          <t>MÖNSTERÅS</t>
        </is>
      </c>
      <c r="I306" t="n">
        <v>3.2</v>
      </c>
      <c r="J306" t="n">
        <v>0</v>
      </c>
      <c r="K306" t="n">
        <v>0</v>
      </c>
      <c r="L306" t="n">
        <v>0</v>
      </c>
      <c r="M306" t="n">
        <v>0</v>
      </c>
      <c r="N306" t="n">
        <v>0</v>
      </c>
      <c r="O306" t="n">
        <v>0</v>
      </c>
      <c r="P306" t="n">
        <v>0</v>
      </c>
      <c r="Q306" t="n">
        <v>0</v>
      </c>
      <c r="R306" t="n">
        <v>0</v>
      </c>
      <c r="S306" t="n">
        <v>0</v>
      </c>
      <c r="T306" t="n">
        <v>0</v>
      </c>
      <c r="U306" s="2" t="inlineStr"/>
    </row>
    <row r="307" ht="15" customHeight="1">
      <c r="A307" t="inlineStr">
        <is>
          <t>A 44535-2024</t>
        </is>
      </c>
      <c r="B307" t="inlineStr">
        <is>
          <t>avverkningsanmälan</t>
        </is>
      </c>
      <c r="C307" t="inlineStr">
        <is>
          <t>Föryngringsavverkning</t>
        </is>
      </c>
      <c r="D307" s="1" t="n">
        <v>45574</v>
      </c>
      <c r="E307" s="1" t="n">
        <v>46216</v>
      </c>
      <c r="F307" t="inlineStr">
        <is>
          <t>KALMAR LÄN</t>
        </is>
      </c>
      <c r="G307" t="inlineStr">
        <is>
          <t>MÖNSTERÅS</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36364-2023</t>
        </is>
      </c>
      <c r="B308" t="inlineStr">
        <is>
          <t>avverkningsanmälan</t>
        </is>
      </c>
      <c r="C308" t="inlineStr">
        <is>
          <t>Föryngringsavverkning</t>
        </is>
      </c>
      <c r="D308" s="1" t="n">
        <v>45152</v>
      </c>
      <c r="E308" s="1" t="n">
        <v>46216</v>
      </c>
      <c r="F308" t="inlineStr">
        <is>
          <t>KALMAR LÄN</t>
        </is>
      </c>
      <c r="G308" t="inlineStr">
        <is>
          <t>MÖNSTERÅS</t>
        </is>
      </c>
      <c r="H308" t="inlineStr">
        <is>
          <t>Kommuner</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3853-2026</t>
        </is>
      </c>
      <c r="B309" t="inlineStr">
        <is>
          <t>avverkningsanmälan</t>
        </is>
      </c>
      <c r="C309" t="inlineStr">
        <is>
          <t>Föryngringsavverkning</t>
        </is>
      </c>
      <c r="D309" s="1" t="n">
        <v>46043</v>
      </c>
      <c r="E309" s="1" t="n">
        <v>46216</v>
      </c>
      <c r="F309" t="inlineStr">
        <is>
          <t>KALMAR LÄN</t>
        </is>
      </c>
      <c r="G309" t="inlineStr">
        <is>
          <t>MÖNSTERÅS</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41480-2024</t>
        </is>
      </c>
      <c r="B310" t="inlineStr">
        <is>
          <t>avverkningsanmälan</t>
        </is>
      </c>
      <c r="C310" t="inlineStr">
        <is>
          <t>Avverkning för annat ändamål</t>
        </is>
      </c>
      <c r="D310" s="1" t="n">
        <v>45560</v>
      </c>
      <c r="E310" s="1" t="n">
        <v>46216</v>
      </c>
      <c r="F310" t="inlineStr">
        <is>
          <t>KALMAR LÄN</t>
        </is>
      </c>
      <c r="G310" t="inlineStr">
        <is>
          <t>MÖNSTERÅS</t>
        </is>
      </c>
      <c r="I310" t="n">
        <v>10.2</v>
      </c>
      <c r="J310" t="n">
        <v>0</v>
      </c>
      <c r="K310" t="n">
        <v>0</v>
      </c>
      <c r="L310" t="n">
        <v>0</v>
      </c>
      <c r="M310" t="n">
        <v>0</v>
      </c>
      <c r="N310" t="n">
        <v>0</v>
      </c>
      <c r="O310" t="n">
        <v>0</v>
      </c>
      <c r="P310" t="n">
        <v>0</v>
      </c>
      <c r="Q310" t="n">
        <v>0</v>
      </c>
      <c r="R310" t="n">
        <v>0</v>
      </c>
      <c r="S310" t="n">
        <v>0</v>
      </c>
      <c r="T310" t="n">
        <v>0</v>
      </c>
      <c r="U310" s="2" t="inlineStr"/>
    </row>
    <row r="311" ht="15" customHeight="1">
      <c r="A311" t="inlineStr">
        <is>
          <t>A 37951-2023</t>
        </is>
      </c>
      <c r="B311" t="inlineStr">
        <is>
          <t>avverkningsanmälan</t>
        </is>
      </c>
      <c r="C311" t="inlineStr">
        <is>
          <t>Föryngringsavverkning</t>
        </is>
      </c>
      <c r="D311" s="1" t="n">
        <v>45160</v>
      </c>
      <c r="E311" s="1" t="n">
        <v>46216</v>
      </c>
      <c r="F311" t="inlineStr">
        <is>
          <t>KALMAR LÄN</t>
        </is>
      </c>
      <c r="G311" t="inlineStr">
        <is>
          <t>MÖNSTERÅS</t>
        </is>
      </c>
      <c r="I311" t="n">
        <v>4.8</v>
      </c>
      <c r="J311" t="n">
        <v>0</v>
      </c>
      <c r="K311" t="n">
        <v>0</v>
      </c>
      <c r="L311" t="n">
        <v>0</v>
      </c>
      <c r="M311" t="n">
        <v>0</v>
      </c>
      <c r="N311" t="n">
        <v>0</v>
      </c>
      <c r="O311" t="n">
        <v>0</v>
      </c>
      <c r="P311" t="n">
        <v>0</v>
      </c>
      <c r="Q311" t="n">
        <v>0</v>
      </c>
      <c r="R311" t="n">
        <v>0</v>
      </c>
      <c r="S311" t="n">
        <v>0</v>
      </c>
      <c r="T311" t="n">
        <v>0</v>
      </c>
      <c r="U311" s="2" t="inlineStr"/>
    </row>
    <row r="312" ht="15" customHeight="1">
      <c r="A312" t="inlineStr">
        <is>
          <t>A 8308-2025</t>
        </is>
      </c>
      <c r="B312" t="inlineStr">
        <is>
          <t>avverkningsanmälan</t>
        </is>
      </c>
      <c r="C312" t="inlineStr">
        <is>
          <t>Föryngringsavverkning</t>
        </is>
      </c>
      <c r="D312" s="1" t="n">
        <v>45708</v>
      </c>
      <c r="E312" s="1" t="n">
        <v>46216</v>
      </c>
      <c r="F312" t="inlineStr">
        <is>
          <t>KALMAR LÄN</t>
        </is>
      </c>
      <c r="G312" t="inlineStr">
        <is>
          <t>MÖNSTERÅS</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15348-2024</t>
        </is>
      </c>
      <c r="B313" t="inlineStr">
        <is>
          <t>avverkningsanmälan</t>
        </is>
      </c>
      <c r="C313" t="inlineStr">
        <is>
          <t>Föryngringsavverkning</t>
        </is>
      </c>
      <c r="D313" s="1" t="n">
        <v>45400</v>
      </c>
      <c r="E313" s="1" t="n">
        <v>46216</v>
      </c>
      <c r="F313" t="inlineStr">
        <is>
          <t>KALMAR LÄN</t>
        </is>
      </c>
      <c r="G313" t="inlineStr">
        <is>
          <t>MÖNSTERÅS</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59289-2022</t>
        </is>
      </c>
      <c r="B314" t="inlineStr">
        <is>
          <t>avverkningsanmälan</t>
        </is>
      </c>
      <c r="C314" t="inlineStr">
        <is>
          <t>Föryngringsavverkning</t>
        </is>
      </c>
      <c r="D314" s="1" t="n">
        <v>44904</v>
      </c>
      <c r="E314" s="1" t="n">
        <v>46216</v>
      </c>
      <c r="F314" t="inlineStr">
        <is>
          <t>KALMAR LÄN</t>
        </is>
      </c>
      <c r="G314" t="inlineStr">
        <is>
          <t>MÖNSTERÅS</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64339-2023</t>
        </is>
      </c>
      <c r="B315" t="inlineStr">
        <is>
          <t>avverkningsanmälan</t>
        </is>
      </c>
      <c r="C315" t="inlineStr">
        <is>
          <t>Föryngringsavverkning</t>
        </is>
      </c>
      <c r="D315" s="1" t="n">
        <v>45280</v>
      </c>
      <c r="E315" s="1" t="n">
        <v>46216</v>
      </c>
      <c r="F315" t="inlineStr">
        <is>
          <t>KALMAR LÄN</t>
        </is>
      </c>
      <c r="G315" t="inlineStr">
        <is>
          <t>MÖNSTERÅS</t>
        </is>
      </c>
      <c r="H315" t="inlineStr">
        <is>
          <t>Övriga Aktiebolag</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22094-2026</t>
        </is>
      </c>
      <c r="B316" t="inlineStr">
        <is>
          <t>avverkningsanmälan</t>
        </is>
      </c>
      <c r="C316" t="inlineStr">
        <is>
          <t>Avverkning för annat ändamål</t>
        </is>
      </c>
      <c r="D316" s="1" t="n">
        <v>46149</v>
      </c>
      <c r="E316" s="1" t="n">
        <v>46216</v>
      </c>
      <c r="F316" t="inlineStr">
        <is>
          <t>KALMAR LÄN</t>
        </is>
      </c>
      <c r="G316" t="inlineStr">
        <is>
          <t>MÖNSTERÅS</t>
        </is>
      </c>
      <c r="I316" t="n">
        <v>26.3</v>
      </c>
      <c r="J316" t="n">
        <v>0</v>
      </c>
      <c r="K316" t="n">
        <v>0</v>
      </c>
      <c r="L316" t="n">
        <v>0</v>
      </c>
      <c r="M316" t="n">
        <v>0</v>
      </c>
      <c r="N316" t="n">
        <v>0</v>
      </c>
      <c r="O316" t="n">
        <v>0</v>
      </c>
      <c r="P316" t="n">
        <v>0</v>
      </c>
      <c r="Q316" t="n">
        <v>0</v>
      </c>
      <c r="R316" t="n">
        <v>0</v>
      </c>
      <c r="S316" t="n">
        <v>0</v>
      </c>
      <c r="T316" t="n">
        <v>0</v>
      </c>
      <c r="U316" s="2" t="inlineStr"/>
    </row>
    <row r="317" ht="15" customHeight="1">
      <c r="A317" t="inlineStr">
        <is>
          <t>A 23701-2023</t>
        </is>
      </c>
      <c r="B317" t="inlineStr">
        <is>
          <t>avverkningsanmälan</t>
        </is>
      </c>
      <c r="C317" t="inlineStr">
        <is>
          <t>Föryngringsavverkning</t>
        </is>
      </c>
      <c r="D317" s="1" t="n">
        <v>45075</v>
      </c>
      <c r="E317" s="1" t="n">
        <v>46216</v>
      </c>
      <c r="F317" t="inlineStr">
        <is>
          <t>KALMAR LÄN</t>
        </is>
      </c>
      <c r="G317" t="inlineStr">
        <is>
          <t>MÖNSTERÅS</t>
        </is>
      </c>
      <c r="I317" t="n">
        <v>7</v>
      </c>
      <c r="J317" t="n">
        <v>0</v>
      </c>
      <c r="K317" t="n">
        <v>0</v>
      </c>
      <c r="L317" t="n">
        <v>0</v>
      </c>
      <c r="M317" t="n">
        <v>0</v>
      </c>
      <c r="N317" t="n">
        <v>0</v>
      </c>
      <c r="O317" t="n">
        <v>0</v>
      </c>
      <c r="P317" t="n">
        <v>0</v>
      </c>
      <c r="Q317" t="n">
        <v>0</v>
      </c>
      <c r="R317" t="n">
        <v>0</v>
      </c>
      <c r="S317" t="n">
        <v>0</v>
      </c>
      <c r="T317" t="n">
        <v>0</v>
      </c>
      <c r="U317" s="2" t="inlineStr"/>
    </row>
    <row r="318" ht="15" customHeight="1">
      <c r="A318" t="inlineStr">
        <is>
          <t>A 3559-2023</t>
        </is>
      </c>
      <c r="B318" t="inlineStr">
        <is>
          <t>avverkningsanmälan</t>
        </is>
      </c>
      <c r="C318" t="inlineStr">
        <is>
          <t>Föryngringsavverkning</t>
        </is>
      </c>
      <c r="D318" s="1" t="n">
        <v>44950</v>
      </c>
      <c r="E318" s="1" t="n">
        <v>46216</v>
      </c>
      <c r="F318" t="inlineStr">
        <is>
          <t>KALMAR LÄN</t>
        </is>
      </c>
      <c r="G318" t="inlineStr">
        <is>
          <t>MÖNSTERÅS</t>
        </is>
      </c>
      <c r="I318" t="n">
        <v>16.4</v>
      </c>
      <c r="J318" t="n">
        <v>0</v>
      </c>
      <c r="K318" t="n">
        <v>0</v>
      </c>
      <c r="L318" t="n">
        <v>0</v>
      </c>
      <c r="M318" t="n">
        <v>0</v>
      </c>
      <c r="N318" t="n">
        <v>0</v>
      </c>
      <c r="O318" t="n">
        <v>0</v>
      </c>
      <c r="P318" t="n">
        <v>0</v>
      </c>
      <c r="Q318" t="n">
        <v>0</v>
      </c>
      <c r="R318" t="n">
        <v>0</v>
      </c>
      <c r="S318" t="n">
        <v>0</v>
      </c>
      <c r="T318" t="n">
        <v>0</v>
      </c>
      <c r="U318" s="2" t="inlineStr"/>
    </row>
    <row r="319" ht="15" customHeight="1">
      <c r="A319" t="inlineStr">
        <is>
          <t>A 45065-2024</t>
        </is>
      </c>
      <c r="B319" t="inlineStr">
        <is>
          <t>avverkningsanmälan</t>
        </is>
      </c>
      <c r="C319" t="inlineStr">
        <is>
          <t>Föryngringsavverkning</t>
        </is>
      </c>
      <c r="D319" s="1" t="n">
        <v>45575</v>
      </c>
      <c r="E319" s="1" t="n">
        <v>46216</v>
      </c>
      <c r="F319" t="inlineStr">
        <is>
          <t>KALMAR LÄN</t>
        </is>
      </c>
      <c r="G319" t="inlineStr">
        <is>
          <t>MÖNSTERÅS</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44317-2023</t>
        </is>
      </c>
      <c r="B320" t="inlineStr">
        <is>
          <t>avverkningsanmälan</t>
        </is>
      </c>
      <c r="C320" t="inlineStr">
        <is>
          <t>Föryngringsavverkning</t>
        </is>
      </c>
      <c r="D320" s="1" t="n">
        <v>45188</v>
      </c>
      <c r="E320" s="1" t="n">
        <v>46216</v>
      </c>
      <c r="F320" t="inlineStr">
        <is>
          <t>KALMAR LÄN</t>
        </is>
      </c>
      <c r="G320" t="inlineStr">
        <is>
          <t>MÖNSTERÅS</t>
        </is>
      </c>
      <c r="I320" t="n">
        <v>5.8</v>
      </c>
      <c r="J320" t="n">
        <v>0</v>
      </c>
      <c r="K320" t="n">
        <v>0</v>
      </c>
      <c r="L320" t="n">
        <v>0</v>
      </c>
      <c r="M320" t="n">
        <v>0</v>
      </c>
      <c r="N320" t="n">
        <v>0</v>
      </c>
      <c r="O320" t="n">
        <v>0</v>
      </c>
      <c r="P320" t="n">
        <v>0</v>
      </c>
      <c r="Q320" t="n">
        <v>0</v>
      </c>
      <c r="R320" t="n">
        <v>0</v>
      </c>
      <c r="S320" t="n">
        <v>0</v>
      </c>
      <c r="T320" t="n">
        <v>0</v>
      </c>
      <c r="U320" s="2" t="inlineStr"/>
    </row>
    <row r="321" ht="15" customHeight="1">
      <c r="A321" t="inlineStr">
        <is>
          <t>A 21507-2026</t>
        </is>
      </c>
      <c r="B321" t="inlineStr">
        <is>
          <t>avverkningsanmälan</t>
        </is>
      </c>
      <c r="C321" t="inlineStr">
        <is>
          <t>Föryngringsavverkning</t>
        </is>
      </c>
      <c r="D321" s="1" t="n">
        <v>46148</v>
      </c>
      <c r="E321" s="1" t="n">
        <v>46216</v>
      </c>
      <c r="F321" t="inlineStr">
        <is>
          <t>KALMAR LÄN</t>
        </is>
      </c>
      <c r="G321" t="inlineStr">
        <is>
          <t>MÖNSTERÅS</t>
        </is>
      </c>
      <c r="H321" t="inlineStr">
        <is>
          <t>Kyrkan</t>
        </is>
      </c>
      <c r="I321" t="n">
        <v>6.4</v>
      </c>
      <c r="J321" t="n">
        <v>0</v>
      </c>
      <c r="K321" t="n">
        <v>0</v>
      </c>
      <c r="L321" t="n">
        <v>0</v>
      </c>
      <c r="M321" t="n">
        <v>0</v>
      </c>
      <c r="N321" t="n">
        <v>0</v>
      </c>
      <c r="O321" t="n">
        <v>0</v>
      </c>
      <c r="P321" t="n">
        <v>0</v>
      </c>
      <c r="Q321" t="n">
        <v>0</v>
      </c>
      <c r="R321" t="n">
        <v>0</v>
      </c>
      <c r="S321" t="n">
        <v>0</v>
      </c>
      <c r="T321" t="n">
        <v>0</v>
      </c>
      <c r="U321" s="2" t="inlineStr"/>
    </row>
    <row r="322" ht="15" customHeight="1">
      <c r="A322" t="inlineStr">
        <is>
          <t>A 27564-2026</t>
        </is>
      </c>
      <c r="B322" t="inlineStr">
        <is>
          <t>avverkningsanmälan</t>
        </is>
      </c>
      <c r="C322" t="inlineStr">
        <is>
          <t>Föryngringsavverkning</t>
        </is>
      </c>
      <c r="D322" s="1" t="n">
        <v>46190</v>
      </c>
      <c r="E322" s="1" t="n">
        <v>46216</v>
      </c>
      <c r="F322" t="inlineStr">
        <is>
          <t>KALMAR LÄN</t>
        </is>
      </c>
      <c r="G322" t="inlineStr">
        <is>
          <t>MÖNSTERÅS</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25577-2023</t>
        </is>
      </c>
      <c r="B323" t="inlineStr">
        <is>
          <t>avverkningsanmälan</t>
        </is>
      </c>
      <c r="C323" t="inlineStr">
        <is>
          <t>Föryngringsavverkning</t>
        </is>
      </c>
      <c r="D323" s="1" t="n">
        <v>45089</v>
      </c>
      <c r="E323" s="1" t="n">
        <v>46216</v>
      </c>
      <c r="F323" t="inlineStr">
        <is>
          <t>KALMAR LÄN</t>
        </is>
      </c>
      <c r="G323" t="inlineStr">
        <is>
          <t>MÖNSTERÅS</t>
        </is>
      </c>
      <c r="I323" t="n">
        <v>6.3</v>
      </c>
      <c r="J323" t="n">
        <v>0</v>
      </c>
      <c r="K323" t="n">
        <v>0</v>
      </c>
      <c r="L323" t="n">
        <v>0</v>
      </c>
      <c r="M323" t="n">
        <v>0</v>
      </c>
      <c r="N323" t="n">
        <v>0</v>
      </c>
      <c r="O323" t="n">
        <v>0</v>
      </c>
      <c r="P323" t="n">
        <v>0</v>
      </c>
      <c r="Q323" t="n">
        <v>0</v>
      </c>
      <c r="R323" t="n">
        <v>0</v>
      </c>
      <c r="S323" t="n">
        <v>0</v>
      </c>
      <c r="T323" t="n">
        <v>0</v>
      </c>
      <c r="U323" s="2" t="inlineStr"/>
    </row>
    <row r="324" ht="15" customHeight="1">
      <c r="A324" t="inlineStr">
        <is>
          <t>A 28118-2026</t>
        </is>
      </c>
      <c r="B324" t="inlineStr">
        <is>
          <t>avverkningsanmälan</t>
        </is>
      </c>
      <c r="C324" t="inlineStr">
        <is>
          <t>Föryngringsavverkning</t>
        </is>
      </c>
      <c r="D324" s="1" t="n">
        <v>46195</v>
      </c>
      <c r="E324" s="1" t="n">
        <v>46216</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58720-2023</t>
        </is>
      </c>
      <c r="B325" t="inlineStr">
        <is>
          <t>avverkningsanmälan</t>
        </is>
      </c>
      <c r="C325" t="inlineStr">
        <is>
          <t>Föryngringsavverkning</t>
        </is>
      </c>
      <c r="D325" s="1" t="n">
        <v>45251</v>
      </c>
      <c r="E325" s="1" t="n">
        <v>46216</v>
      </c>
      <c r="F325" t="inlineStr">
        <is>
          <t>KALMAR LÄN</t>
        </is>
      </c>
      <c r="G325" t="inlineStr">
        <is>
          <t>MÖNSTERÅS</t>
        </is>
      </c>
      <c r="I325" t="n">
        <v>5.3</v>
      </c>
      <c r="J325" t="n">
        <v>0</v>
      </c>
      <c r="K325" t="n">
        <v>0</v>
      </c>
      <c r="L325" t="n">
        <v>0</v>
      </c>
      <c r="M325" t="n">
        <v>0</v>
      </c>
      <c r="N325" t="n">
        <v>0</v>
      </c>
      <c r="O325" t="n">
        <v>0</v>
      </c>
      <c r="P325" t="n">
        <v>0</v>
      </c>
      <c r="Q325" t="n">
        <v>0</v>
      </c>
      <c r="R325" t="n">
        <v>0</v>
      </c>
      <c r="S325" t="n">
        <v>0</v>
      </c>
      <c r="T325" t="n">
        <v>0</v>
      </c>
      <c r="U325" s="2" t="inlineStr"/>
    </row>
    <row r="326" ht="15" customHeight="1">
      <c r="A326" t="inlineStr">
        <is>
          <t>A 51533-2022</t>
        </is>
      </c>
      <c r="B326" t="inlineStr">
        <is>
          <t>avverkningsanmälan</t>
        </is>
      </c>
      <c r="C326" t="inlineStr">
        <is>
          <t>Föryngringsavverkning</t>
        </is>
      </c>
      <c r="D326" s="1" t="n">
        <v>44869</v>
      </c>
      <c r="E326" s="1" t="n">
        <v>46216</v>
      </c>
      <c r="F326" t="inlineStr">
        <is>
          <t>KALMAR LÄN</t>
        </is>
      </c>
      <c r="G326" t="inlineStr">
        <is>
          <t>MÖNSTERÅS</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7978-2024</t>
        </is>
      </c>
      <c r="B327" t="inlineStr">
        <is>
          <t>avverkningsanmälan</t>
        </is>
      </c>
      <c r="C327" t="inlineStr">
        <is>
          <t>Föryngringsavverkning</t>
        </is>
      </c>
      <c r="D327" s="1" t="n">
        <v>45350</v>
      </c>
      <c r="E327" s="1" t="n">
        <v>46216</v>
      </c>
      <c r="F327" t="inlineStr">
        <is>
          <t>KALMAR LÄN</t>
        </is>
      </c>
      <c r="G327" t="inlineStr">
        <is>
          <t>MÖNSTERÅS</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28103-2026</t>
        </is>
      </c>
      <c r="B328" t="inlineStr">
        <is>
          <t>avverkningsanmälan</t>
        </is>
      </c>
      <c r="C328" t="inlineStr">
        <is>
          <t>Föryngringsavverkning</t>
        </is>
      </c>
      <c r="D328" s="1" t="n">
        <v>46195</v>
      </c>
      <c r="E328" s="1" t="n">
        <v>46216</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22377-2022</t>
        </is>
      </c>
      <c r="B329" t="inlineStr">
        <is>
          <t>avverkningsanmälan</t>
        </is>
      </c>
      <c r="C329" t="inlineStr">
        <is>
          <t>Föryngringsavverkning</t>
        </is>
      </c>
      <c r="D329" s="1" t="n">
        <v>44713</v>
      </c>
      <c r="E329" s="1" t="n">
        <v>46216</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37376-2023</t>
        </is>
      </c>
      <c r="B330" t="inlineStr">
        <is>
          <t>avverkningsanmälan</t>
        </is>
      </c>
      <c r="C330" t="inlineStr">
        <is>
          <t>Föryngringsavverkning</t>
        </is>
      </c>
      <c r="D330" s="1" t="n">
        <v>45155</v>
      </c>
      <c r="E330" s="1" t="n">
        <v>46216</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42927-2023</t>
        </is>
      </c>
      <c r="B331" t="inlineStr">
        <is>
          <t>avverkningsanmälan</t>
        </is>
      </c>
      <c r="C331" t="inlineStr">
        <is>
          <t>Föryngringsavverkning</t>
        </is>
      </c>
      <c r="D331" s="1" t="n">
        <v>45182</v>
      </c>
      <c r="E331" s="1" t="n">
        <v>46216</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28543-2026</t>
        </is>
      </c>
      <c r="B332" t="inlineStr">
        <is>
          <t>avverkningsanmälan</t>
        </is>
      </c>
      <c r="C332" t="inlineStr">
        <is>
          <t>Föryngringsavverkning</t>
        </is>
      </c>
      <c r="D332" s="1" t="n">
        <v>46197</v>
      </c>
      <c r="E332" s="1" t="n">
        <v>46216</v>
      </c>
      <c r="F332" t="inlineStr">
        <is>
          <t>KALMAR LÄN</t>
        </is>
      </c>
      <c r="G332" t="inlineStr">
        <is>
          <t>MÖNSTERÅS</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37250-2024</t>
        </is>
      </c>
      <c r="B333" t="inlineStr">
        <is>
          <t>avverkningsanmälan</t>
        </is>
      </c>
      <c r="C333" t="inlineStr">
        <is>
          <t>Föryngringsavverkning</t>
        </is>
      </c>
      <c r="D333" s="1" t="n">
        <v>45540</v>
      </c>
      <c r="E333" s="1" t="n">
        <v>46216</v>
      </c>
      <c r="F333" t="inlineStr">
        <is>
          <t>KALMAR LÄN</t>
        </is>
      </c>
      <c r="G333" t="inlineStr">
        <is>
          <t>MÖNSTERÅS</t>
        </is>
      </c>
      <c r="I333" t="n">
        <v>4.3</v>
      </c>
      <c r="J333" t="n">
        <v>0</v>
      </c>
      <c r="K333" t="n">
        <v>0</v>
      </c>
      <c r="L333" t="n">
        <v>0</v>
      </c>
      <c r="M333" t="n">
        <v>0</v>
      </c>
      <c r="N333" t="n">
        <v>0</v>
      </c>
      <c r="O333" t="n">
        <v>0</v>
      </c>
      <c r="P333" t="n">
        <v>0</v>
      </c>
      <c r="Q333" t="n">
        <v>0</v>
      </c>
      <c r="R333" t="n">
        <v>0</v>
      </c>
      <c r="S333" t="n">
        <v>0</v>
      </c>
      <c r="T333" t="n">
        <v>0</v>
      </c>
      <c r="U333" s="2" t="inlineStr"/>
    </row>
    <row r="334" ht="15" customHeight="1">
      <c r="A334" t="inlineStr">
        <is>
          <t>A 28368-2026</t>
        </is>
      </c>
      <c r="B334" t="inlineStr">
        <is>
          <t>avverkningsanmälan</t>
        </is>
      </c>
      <c r="C334" t="inlineStr">
        <is>
          <t>Föryngringsavverkning</t>
        </is>
      </c>
      <c r="D334" s="1" t="n">
        <v>46196</v>
      </c>
      <c r="E334" s="1" t="n">
        <v>46216</v>
      </c>
      <c r="F334" t="inlineStr">
        <is>
          <t>KALMAR LÄN</t>
        </is>
      </c>
      <c r="G334" t="inlineStr">
        <is>
          <t>MÖNSTERÅS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45504-2023</t>
        </is>
      </c>
      <c r="B335" t="inlineStr">
        <is>
          <t>avverkningsanmälan</t>
        </is>
      </c>
      <c r="C335" t="inlineStr">
        <is>
          <t>Föryngringsavverkning</t>
        </is>
      </c>
      <c r="D335" s="1" t="n">
        <v>45188</v>
      </c>
      <c r="E335" s="1" t="n">
        <v>46216</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27077-2022</t>
        </is>
      </c>
      <c r="B336" t="inlineStr">
        <is>
          <t>avverkningsanmälan</t>
        </is>
      </c>
      <c r="C336" t="inlineStr">
        <is>
          <t>Föryngringsavverkning</t>
        </is>
      </c>
      <c r="D336" s="1" t="n">
        <v>44741</v>
      </c>
      <c r="E336" s="1" t="n">
        <v>46216</v>
      </c>
      <c r="F336" t="inlineStr">
        <is>
          <t>KALMAR LÄN</t>
        </is>
      </c>
      <c r="G336" t="inlineStr">
        <is>
          <t>MÖNSTERÅS</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36361-2023</t>
        </is>
      </c>
      <c r="B337" t="inlineStr">
        <is>
          <t>avverkningsanmälan</t>
        </is>
      </c>
      <c r="C337" t="inlineStr">
        <is>
          <t>Föryngringsavverkning</t>
        </is>
      </c>
      <c r="D337" s="1" t="n">
        <v>45152</v>
      </c>
      <c r="E337" s="1" t="n">
        <v>46216</v>
      </c>
      <c r="F337" t="inlineStr">
        <is>
          <t>KALMAR LÄN</t>
        </is>
      </c>
      <c r="G337" t="inlineStr">
        <is>
          <t>MÖNSTERÅS</t>
        </is>
      </c>
      <c r="H337" t="inlineStr">
        <is>
          <t>Kommuner</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22754-2026</t>
        </is>
      </c>
      <c r="B338" t="inlineStr">
        <is>
          <t>avverkningsanmälan</t>
        </is>
      </c>
      <c r="C338" t="inlineStr">
        <is>
          <t>Avverkning för att bevara och utveckla /försöksver</t>
        </is>
      </c>
      <c r="D338" s="1" t="n">
        <v>46157</v>
      </c>
      <c r="E338" s="1" t="n">
        <v>46216</v>
      </c>
      <c r="F338" t="inlineStr">
        <is>
          <t>KALMAR LÄN</t>
        </is>
      </c>
      <c r="G338" t="inlineStr">
        <is>
          <t>MÖNSTERÅS</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3759-2024</t>
        </is>
      </c>
      <c r="B339" t="inlineStr">
        <is>
          <t>avverkningsanmälan</t>
        </is>
      </c>
      <c r="C339" t="inlineStr">
        <is>
          <t>Föryngringsavverkning</t>
        </is>
      </c>
      <c r="D339" s="1" t="n">
        <v>45321</v>
      </c>
      <c r="E339" s="1" t="n">
        <v>46216</v>
      </c>
      <c r="F339" t="inlineStr">
        <is>
          <t>KALMAR LÄN</t>
        </is>
      </c>
      <c r="G339" t="inlineStr">
        <is>
          <t>MÖNSTERÅS</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22753-2026</t>
        </is>
      </c>
      <c r="B340" t="inlineStr">
        <is>
          <t>avverkningsanmälan</t>
        </is>
      </c>
      <c r="C340" t="inlineStr">
        <is>
          <t>Föryngringsavverkning</t>
        </is>
      </c>
      <c r="D340" s="1" t="n">
        <v>46157</v>
      </c>
      <c r="E340" s="1" t="n">
        <v>46216</v>
      </c>
      <c r="F340" t="inlineStr">
        <is>
          <t>KALMAR LÄN</t>
        </is>
      </c>
      <c r="G340" t="inlineStr">
        <is>
          <t>MÖNSTERÅS</t>
        </is>
      </c>
      <c r="H340" t="inlineStr">
        <is>
          <t>Övriga Aktiebolag</t>
        </is>
      </c>
      <c r="I340" t="n">
        <v>16.6</v>
      </c>
      <c r="J340" t="n">
        <v>0</v>
      </c>
      <c r="K340" t="n">
        <v>0</v>
      </c>
      <c r="L340" t="n">
        <v>0</v>
      </c>
      <c r="M340" t="n">
        <v>0</v>
      </c>
      <c r="N340" t="n">
        <v>0</v>
      </c>
      <c r="O340" t="n">
        <v>0</v>
      </c>
      <c r="P340" t="n">
        <v>0</v>
      </c>
      <c r="Q340" t="n">
        <v>0</v>
      </c>
      <c r="R340" t="n">
        <v>0</v>
      </c>
      <c r="S340" t="n">
        <v>0</v>
      </c>
      <c r="T340" t="n">
        <v>0</v>
      </c>
      <c r="U340" s="2" t="inlineStr"/>
    </row>
    <row r="341" ht="15" customHeight="1">
      <c r="A341" t="inlineStr">
        <is>
          <t>A 59159-2023</t>
        </is>
      </c>
      <c r="B341" t="inlineStr">
        <is>
          <t>avverkningsanmälan</t>
        </is>
      </c>
      <c r="C341" t="inlineStr">
        <is>
          <t>Föryngringsavverkning</t>
        </is>
      </c>
      <c r="D341" s="1" t="n">
        <v>45251</v>
      </c>
      <c r="E341" s="1" t="n">
        <v>46216</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62280-2022</t>
        </is>
      </c>
      <c r="B342" t="inlineStr">
        <is>
          <t>avverkningsanmälan</t>
        </is>
      </c>
      <c r="C342" t="inlineStr">
        <is>
          <t>Föryngringsavverkning</t>
        </is>
      </c>
      <c r="D342" s="1" t="n">
        <v>44923</v>
      </c>
      <c r="E342" s="1" t="n">
        <v>46216</v>
      </c>
      <c r="F342" t="inlineStr">
        <is>
          <t>KALMAR LÄN</t>
        </is>
      </c>
      <c r="G342" t="inlineStr">
        <is>
          <t>MÖNSTERÅS</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1889-2023</t>
        </is>
      </c>
      <c r="B343" t="inlineStr">
        <is>
          <t>avverkningsanmälan</t>
        </is>
      </c>
      <c r="C343" t="inlineStr">
        <is>
          <t>Föryngringsavverkning</t>
        </is>
      </c>
      <c r="D343" s="1" t="n">
        <v>44939</v>
      </c>
      <c r="E343" s="1" t="n">
        <v>46216</v>
      </c>
      <c r="F343" t="inlineStr">
        <is>
          <t>KALMAR LÄN</t>
        </is>
      </c>
      <c r="G343" t="inlineStr">
        <is>
          <t>MÖNSTERÅS</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4104-2024</t>
        </is>
      </c>
      <c r="B344" t="inlineStr">
        <is>
          <t>avverkningsanmälan</t>
        </is>
      </c>
      <c r="C344" t="inlineStr">
        <is>
          <t>Föryngringsavverkning</t>
        </is>
      </c>
      <c r="D344" s="1" t="n">
        <v>45323</v>
      </c>
      <c r="E344" s="1" t="n">
        <v>46216</v>
      </c>
      <c r="F344" t="inlineStr">
        <is>
          <t>KALMAR LÄN</t>
        </is>
      </c>
      <c r="G344" t="inlineStr">
        <is>
          <t>MÖNSTERÅS</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29379-2026</t>
        </is>
      </c>
      <c r="B345" t="inlineStr">
        <is>
          <t>avverkningsanmälan</t>
        </is>
      </c>
      <c r="C345" t="inlineStr">
        <is>
          <t>Föryngringsavverkning</t>
        </is>
      </c>
      <c r="D345" s="1" t="n">
        <v>46203</v>
      </c>
      <c r="E345" s="1" t="n">
        <v>46216</v>
      </c>
      <c r="F345" t="inlineStr">
        <is>
          <t>KALMAR LÄN</t>
        </is>
      </c>
      <c r="G345" t="inlineStr">
        <is>
          <t>MÖNSTERÅS</t>
        </is>
      </c>
      <c r="I345" t="n">
        <v>4.5</v>
      </c>
      <c r="J345" t="n">
        <v>0</v>
      </c>
      <c r="K345" t="n">
        <v>0</v>
      </c>
      <c r="L345" t="n">
        <v>0</v>
      </c>
      <c r="M345" t="n">
        <v>0</v>
      </c>
      <c r="N345" t="n">
        <v>0</v>
      </c>
      <c r="O345" t="n">
        <v>0</v>
      </c>
      <c r="P345" t="n">
        <v>0</v>
      </c>
      <c r="Q345" t="n">
        <v>0</v>
      </c>
      <c r="R345" t="n">
        <v>0</v>
      </c>
      <c r="S345" t="n">
        <v>0</v>
      </c>
      <c r="T345" t="n">
        <v>0</v>
      </c>
      <c r="U345" s="2" t="inlineStr"/>
    </row>
    <row r="346" ht="15" customHeight="1">
      <c r="A346" t="inlineStr">
        <is>
          <t>A 26701-2022</t>
        </is>
      </c>
      <c r="B346" t="inlineStr">
        <is>
          <t>avverkningsanmälan</t>
        </is>
      </c>
      <c r="C346" t="inlineStr">
        <is>
          <t>Föryngringsavverkning</t>
        </is>
      </c>
      <c r="D346" s="1" t="n">
        <v>44739</v>
      </c>
      <c r="E346" s="1" t="n">
        <v>46216</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50914-2023</t>
        </is>
      </c>
      <c r="B347" t="inlineStr">
        <is>
          <t>avverkningsanmälan</t>
        </is>
      </c>
      <c r="C347" t="inlineStr">
        <is>
          <t>Avverkning för annat ändamål</t>
        </is>
      </c>
      <c r="D347" s="1" t="n">
        <v>45218</v>
      </c>
      <c r="E347" s="1" t="n">
        <v>46216</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29303-2026</t>
        </is>
      </c>
      <c r="B348" t="inlineStr">
        <is>
          <t>avverkningsanmälan</t>
        </is>
      </c>
      <c r="C348" t="inlineStr">
        <is>
          <t>Föryngringsavverkning</t>
        </is>
      </c>
      <c r="D348" s="1" t="n">
        <v>46202</v>
      </c>
      <c r="E348" s="1" t="n">
        <v>46216</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37582-2025</t>
        </is>
      </c>
      <c r="B349" t="inlineStr">
        <is>
          <t>avverkningsanmälan</t>
        </is>
      </c>
      <c r="C349" t="inlineStr">
        <is>
          <t>Föryngringsavverkning</t>
        </is>
      </c>
      <c r="D349" s="1" t="n">
        <v>45880</v>
      </c>
      <c r="E349" s="1" t="n">
        <v>46216</v>
      </c>
      <c r="F349" t="inlineStr">
        <is>
          <t>KALMAR LÄN</t>
        </is>
      </c>
      <c r="G349" t="inlineStr">
        <is>
          <t>MÖNSTERÅS</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22839-2026</t>
        </is>
      </c>
      <c r="B350" t="inlineStr">
        <is>
          <t>avverkningsanmälan</t>
        </is>
      </c>
      <c r="C350" t="inlineStr">
        <is>
          <t>Föryngringsavverkning</t>
        </is>
      </c>
      <c r="D350" s="1" t="n">
        <v>46160</v>
      </c>
      <c r="E350" s="1" t="n">
        <v>46216</v>
      </c>
      <c r="F350" t="inlineStr">
        <is>
          <t>KALMAR LÄN</t>
        </is>
      </c>
      <c r="G350" t="inlineStr">
        <is>
          <t>MÖNSTERÅS</t>
        </is>
      </c>
      <c r="H350" t="inlineStr">
        <is>
          <t>Kommuner</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51697-2025</t>
        </is>
      </c>
      <c r="B351" t="inlineStr">
        <is>
          <t>avverkningsanmälan</t>
        </is>
      </c>
      <c r="C351" t="inlineStr">
        <is>
          <t>Föryngringsavverkning</t>
        </is>
      </c>
      <c r="D351" s="1" t="n">
        <v>45950</v>
      </c>
      <c r="E351" s="1" t="n">
        <v>46216</v>
      </c>
      <c r="F351" t="inlineStr">
        <is>
          <t>KALMAR LÄN</t>
        </is>
      </c>
      <c r="G351" t="inlineStr">
        <is>
          <t>MÖNSTERÅS</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29570-2026</t>
        </is>
      </c>
      <c r="B352" t="inlineStr">
        <is>
          <t>avverkningsanmälan</t>
        </is>
      </c>
      <c r="C352" t="inlineStr">
        <is>
          <t>Föryngringsavverkning</t>
        </is>
      </c>
      <c r="D352" s="1" t="n">
        <v>46204</v>
      </c>
      <c r="E352" s="1" t="n">
        <v>46216</v>
      </c>
      <c r="F352" t="inlineStr">
        <is>
          <t>KALMAR LÄN</t>
        </is>
      </c>
      <c r="G352" t="inlineStr">
        <is>
          <t>MÖNSTERÅS</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40991-2024</t>
        </is>
      </c>
      <c r="B353" t="inlineStr">
        <is>
          <t>avverkningsanmälan</t>
        </is>
      </c>
      <c r="C353" t="inlineStr">
        <is>
          <t>Föryngringsavverkning</t>
        </is>
      </c>
      <c r="D353" s="1" t="n">
        <v>45558</v>
      </c>
      <c r="E353" s="1" t="n">
        <v>46216</v>
      </c>
      <c r="F353" t="inlineStr">
        <is>
          <t>KALMAR LÄN</t>
        </is>
      </c>
      <c r="G353" t="inlineStr">
        <is>
          <t>MÖNSTERÅS</t>
        </is>
      </c>
      <c r="I353" t="n">
        <v>3.7</v>
      </c>
      <c r="J353" t="n">
        <v>0</v>
      </c>
      <c r="K353" t="n">
        <v>0</v>
      </c>
      <c r="L353" t="n">
        <v>0</v>
      </c>
      <c r="M353" t="n">
        <v>0</v>
      </c>
      <c r="N353" t="n">
        <v>0</v>
      </c>
      <c r="O353" t="n">
        <v>0</v>
      </c>
      <c r="P353" t="n">
        <v>0</v>
      </c>
      <c r="Q353" t="n">
        <v>0</v>
      </c>
      <c r="R353" t="n">
        <v>0</v>
      </c>
      <c r="S353" t="n">
        <v>0</v>
      </c>
      <c r="T353" t="n">
        <v>0</v>
      </c>
      <c r="U353" s="2" t="inlineStr"/>
    </row>
    <row r="354" ht="15" customHeight="1">
      <c r="A354" t="inlineStr">
        <is>
          <t>A 51804-2022</t>
        </is>
      </c>
      <c r="B354" t="inlineStr">
        <is>
          <t>avverkningsanmälan</t>
        </is>
      </c>
      <c r="C354" t="inlineStr">
        <is>
          <t>Föryngringsavverkning</t>
        </is>
      </c>
      <c r="D354" s="1" t="n">
        <v>44872</v>
      </c>
      <c r="E354" s="1" t="n">
        <v>46216</v>
      </c>
      <c r="F354" t="inlineStr">
        <is>
          <t>KALMAR LÄN</t>
        </is>
      </c>
      <c r="G354" t="inlineStr">
        <is>
          <t>MÖNSTERÅS</t>
        </is>
      </c>
      <c r="I354" t="n">
        <v>3.5</v>
      </c>
      <c r="J354" t="n">
        <v>0</v>
      </c>
      <c r="K354" t="n">
        <v>0</v>
      </c>
      <c r="L354" t="n">
        <v>0</v>
      </c>
      <c r="M354" t="n">
        <v>0</v>
      </c>
      <c r="N354" t="n">
        <v>0</v>
      </c>
      <c r="O354" t="n">
        <v>0</v>
      </c>
      <c r="P354" t="n">
        <v>0</v>
      </c>
      <c r="Q354" t="n">
        <v>0</v>
      </c>
      <c r="R354" t="n">
        <v>0</v>
      </c>
      <c r="S354" t="n">
        <v>0</v>
      </c>
      <c r="T354" t="n">
        <v>0</v>
      </c>
      <c r="U354" s="2" t="inlineStr"/>
    </row>
    <row r="355" ht="15" customHeight="1">
      <c r="A355" t="inlineStr">
        <is>
          <t>A 61009-2024</t>
        </is>
      </c>
      <c r="B355" t="inlineStr">
        <is>
          <t>avverkningsanmälan</t>
        </is>
      </c>
      <c r="C355" t="inlineStr">
        <is>
          <t>Föryngringsavverkning</t>
        </is>
      </c>
      <c r="D355" s="1" t="n">
        <v>45645</v>
      </c>
      <c r="E355" s="1" t="n">
        <v>46216</v>
      </c>
      <c r="F355" t="inlineStr">
        <is>
          <t>KALMAR LÄN</t>
        </is>
      </c>
      <c r="G355" t="inlineStr">
        <is>
          <t>MÖNSTERÅS</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29812-2026</t>
        </is>
      </c>
      <c r="B356" t="inlineStr">
        <is>
          <t>avverkningsanmälan</t>
        </is>
      </c>
      <c r="C356" t="inlineStr">
        <is>
          <t>Föryngringsavverkning</t>
        </is>
      </c>
      <c r="D356" s="1" t="n">
        <v>46205</v>
      </c>
      <c r="E356" s="1" t="n">
        <v>46216</v>
      </c>
      <c r="F356" t="inlineStr">
        <is>
          <t>KALMAR LÄN</t>
        </is>
      </c>
      <c r="G356" t="inlineStr">
        <is>
          <t>MÖNSTERÅS</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30089-2026</t>
        </is>
      </c>
      <c r="B357" t="inlineStr">
        <is>
          <t>avverkningsanmälan</t>
        </is>
      </c>
      <c r="C357" t="inlineStr">
        <is>
          <t>Föryngringsavverkning</t>
        </is>
      </c>
      <c r="D357" s="1" t="n">
        <v>46206</v>
      </c>
      <c r="E357" s="1" t="n">
        <v>46216</v>
      </c>
      <c r="F357" t="inlineStr">
        <is>
          <t>KALMAR LÄN</t>
        </is>
      </c>
      <c r="G357" t="inlineStr">
        <is>
          <t>MÖNSTERÅS</t>
        </is>
      </c>
      <c r="H357" t="inlineStr">
        <is>
          <t>Övriga Aktiebolag</t>
        </is>
      </c>
      <c r="I357" t="n">
        <v>5.8</v>
      </c>
      <c r="J357" t="n">
        <v>0</v>
      </c>
      <c r="K357" t="n">
        <v>0</v>
      </c>
      <c r="L357" t="n">
        <v>0</v>
      </c>
      <c r="M357" t="n">
        <v>0</v>
      </c>
      <c r="N357" t="n">
        <v>0</v>
      </c>
      <c r="O357" t="n">
        <v>0</v>
      </c>
      <c r="P357" t="n">
        <v>0</v>
      </c>
      <c r="Q357" t="n">
        <v>0</v>
      </c>
      <c r="R357" t="n">
        <v>0</v>
      </c>
      <c r="S357" t="n">
        <v>0</v>
      </c>
      <c r="T357" t="n">
        <v>0</v>
      </c>
      <c r="U357" s="2" t="inlineStr"/>
    </row>
    <row r="358" ht="15" customHeight="1">
      <c r="A358" t="inlineStr">
        <is>
          <t>A 30097-2026</t>
        </is>
      </c>
      <c r="B358" t="inlineStr">
        <is>
          <t>avverkningsanmälan</t>
        </is>
      </c>
      <c r="C358" t="inlineStr">
        <is>
          <t>Föryngringsavverkning</t>
        </is>
      </c>
      <c r="D358" s="1" t="n">
        <v>46206</v>
      </c>
      <c r="E358" s="1" t="n">
        <v>46216</v>
      </c>
      <c r="F358" t="inlineStr">
        <is>
          <t>KALMAR LÄN</t>
        </is>
      </c>
      <c r="G358" t="inlineStr">
        <is>
          <t>MÖNSTERÅS</t>
        </is>
      </c>
      <c r="H358" t="inlineStr">
        <is>
          <t>Övriga Aktiebolag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A 31754-2023</t>
        </is>
      </c>
      <c r="B359" t="inlineStr">
        <is>
          <t>avverkningsanmälan</t>
        </is>
      </c>
      <c r="C359" t="inlineStr">
        <is>
          <t>Föryngringsavverkning</t>
        </is>
      </c>
      <c r="D359" s="1" t="n">
        <v>45106</v>
      </c>
      <c r="E359" s="1" t="n">
        <v>46216</v>
      </c>
      <c r="F359" t="inlineStr">
        <is>
          <t>KALMAR LÄN</t>
        </is>
      </c>
      <c r="G359" t="inlineStr">
        <is>
          <t>MÖNSTERÅS</t>
        </is>
      </c>
      <c r="H359" t="inlineStr">
        <is>
          <t>Kyrkan</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23845-2026</t>
        </is>
      </c>
      <c r="B360" t="inlineStr">
        <is>
          <t>avverkningsanmälan</t>
        </is>
      </c>
      <c r="C360" t="inlineStr">
        <is>
          <t>Föryngringsavverkning</t>
        </is>
      </c>
      <c r="D360" s="1" t="n">
        <v>46167</v>
      </c>
      <c r="E360" s="1" t="n">
        <v>46216</v>
      </c>
      <c r="F360" t="inlineStr">
        <is>
          <t>KALMAR LÄN</t>
        </is>
      </c>
      <c r="G360" t="inlineStr">
        <is>
          <t>MÖNSTERÅS</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29957-2022</t>
        </is>
      </c>
      <c r="B361" t="inlineStr">
        <is>
          <t>avverkningsanmälan</t>
        </is>
      </c>
      <c r="C361" t="inlineStr">
        <is>
          <t>Föryngringsavverkning</t>
        </is>
      </c>
      <c r="D361" s="1" t="n">
        <v>44756</v>
      </c>
      <c r="E361" s="1" t="n">
        <v>46216</v>
      </c>
      <c r="F361" t="inlineStr">
        <is>
          <t>KALMAR LÄN</t>
        </is>
      </c>
      <c r="G361" t="inlineStr">
        <is>
          <t>MÖNSTERÅS</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19023-2025</t>
        </is>
      </c>
      <c r="B362" t="inlineStr">
        <is>
          <t>avverkningsanmälan</t>
        </is>
      </c>
      <c r="C362" t="inlineStr">
        <is>
          <t>Föryngringsavverkning</t>
        </is>
      </c>
      <c r="D362" s="1" t="n">
        <v>45764</v>
      </c>
      <c r="E362" s="1" t="n">
        <v>46216</v>
      </c>
      <c r="F362" t="inlineStr">
        <is>
          <t>KALMAR LÄN</t>
        </is>
      </c>
      <c r="G362" t="inlineStr">
        <is>
          <t>MÖNSTERÅS</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35135-2023</t>
        </is>
      </c>
      <c r="B363" t="inlineStr">
        <is>
          <t>avverkningsanmälan</t>
        </is>
      </c>
      <c r="C363" t="inlineStr">
        <is>
          <t>Föryngringsavverkning</t>
        </is>
      </c>
      <c r="D363" s="1" t="n">
        <v>45145</v>
      </c>
      <c r="E363" s="1" t="n">
        <v>46216</v>
      </c>
      <c r="F363" t="inlineStr">
        <is>
          <t>KALMAR LÄN</t>
        </is>
      </c>
      <c r="G363" t="inlineStr">
        <is>
          <t>MÖNSTERÅS</t>
        </is>
      </c>
      <c r="I363" t="n">
        <v>5.3</v>
      </c>
      <c r="J363" t="n">
        <v>0</v>
      </c>
      <c r="K363" t="n">
        <v>0</v>
      </c>
      <c r="L363" t="n">
        <v>0</v>
      </c>
      <c r="M363" t="n">
        <v>0</v>
      </c>
      <c r="N363" t="n">
        <v>0</v>
      </c>
      <c r="O363" t="n">
        <v>0</v>
      </c>
      <c r="P363" t="n">
        <v>0</v>
      </c>
      <c r="Q363" t="n">
        <v>0</v>
      </c>
      <c r="R363" t="n">
        <v>0</v>
      </c>
      <c r="S363" t="n">
        <v>0</v>
      </c>
      <c r="T363" t="n">
        <v>0</v>
      </c>
      <c r="U363" s="2" t="inlineStr"/>
    </row>
    <row r="364" ht="15" customHeight="1">
      <c r="A364" t="inlineStr">
        <is>
          <t>A 762-2023</t>
        </is>
      </c>
      <c r="B364" t="inlineStr">
        <is>
          <t>avverkningsanmälan</t>
        </is>
      </c>
      <c r="C364" t="inlineStr">
        <is>
          <t>Föryngringsavverkning</t>
        </is>
      </c>
      <c r="D364" s="1" t="n">
        <v>44931</v>
      </c>
      <c r="E364" s="1" t="n">
        <v>46216</v>
      </c>
      <c r="F364" t="inlineStr">
        <is>
          <t>KALMAR LÄN</t>
        </is>
      </c>
      <c r="G364" t="inlineStr">
        <is>
          <t>MÖNSTERÅS</t>
        </is>
      </c>
      <c r="I364" t="n">
        <v>8.199999999999999</v>
      </c>
      <c r="J364" t="n">
        <v>0</v>
      </c>
      <c r="K364" t="n">
        <v>0</v>
      </c>
      <c r="L364" t="n">
        <v>0</v>
      </c>
      <c r="M364" t="n">
        <v>0</v>
      </c>
      <c r="N364" t="n">
        <v>0</v>
      </c>
      <c r="O364" t="n">
        <v>0</v>
      </c>
      <c r="P364" t="n">
        <v>0</v>
      </c>
      <c r="Q364" t="n">
        <v>0</v>
      </c>
      <c r="R364" t="n">
        <v>0</v>
      </c>
      <c r="S364" t="n">
        <v>0</v>
      </c>
      <c r="T364" t="n">
        <v>0</v>
      </c>
      <c r="U364" s="2" t="inlineStr"/>
    </row>
    <row r="365" ht="15" customHeight="1">
      <c r="A365" t="inlineStr">
        <is>
          <t>A 24312-2026</t>
        </is>
      </c>
      <c r="B365" t="inlineStr">
        <is>
          <t>avverkningsanmälan</t>
        </is>
      </c>
      <c r="C365" t="inlineStr">
        <is>
          <t>Föryngringsavverkning</t>
        </is>
      </c>
      <c r="D365" s="1" t="n">
        <v>46169</v>
      </c>
      <c r="E365" s="1" t="n">
        <v>46216</v>
      </c>
      <c r="F365" t="inlineStr">
        <is>
          <t>KALMAR LÄN</t>
        </is>
      </c>
      <c r="G365" t="inlineStr">
        <is>
          <t>MÖNSTERÅS</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24311-2026</t>
        </is>
      </c>
      <c r="B366" t="inlineStr">
        <is>
          <t>avverkningsanmälan</t>
        </is>
      </c>
      <c r="C366" t="inlineStr">
        <is>
          <t>Föryngringsavverkning</t>
        </is>
      </c>
      <c r="D366" s="1" t="n">
        <v>46169</v>
      </c>
      <c r="E366" s="1" t="n">
        <v>46216</v>
      </c>
      <c r="F366" t="inlineStr">
        <is>
          <t>KALMAR LÄN</t>
        </is>
      </c>
      <c r="G366" t="inlineStr">
        <is>
          <t>MÖNSTERÅS</t>
        </is>
      </c>
      <c r="I366" t="n">
        <v>3.2</v>
      </c>
      <c r="J366" t="n">
        <v>0</v>
      </c>
      <c r="K366" t="n">
        <v>0</v>
      </c>
      <c r="L366" t="n">
        <v>0</v>
      </c>
      <c r="M366" t="n">
        <v>0</v>
      </c>
      <c r="N366" t="n">
        <v>0</v>
      </c>
      <c r="O366" t="n">
        <v>0</v>
      </c>
      <c r="P366" t="n">
        <v>0</v>
      </c>
      <c r="Q366" t="n">
        <v>0</v>
      </c>
      <c r="R366" t="n">
        <v>0</v>
      </c>
      <c r="S366" t="n">
        <v>0</v>
      </c>
      <c r="T366" t="n">
        <v>0</v>
      </c>
      <c r="U366" s="2" t="inlineStr"/>
    </row>
    <row r="367" ht="15" customHeight="1">
      <c r="A367" t="inlineStr">
        <is>
          <t>A 16437-2023</t>
        </is>
      </c>
      <c r="B367" t="inlineStr">
        <is>
          <t>avverkningsanmälan</t>
        </is>
      </c>
      <c r="C367" t="inlineStr">
        <is>
          <t>Föryngringsavverkning</t>
        </is>
      </c>
      <c r="D367" s="1" t="n">
        <v>45022</v>
      </c>
      <c r="E367" s="1" t="n">
        <v>46216</v>
      </c>
      <c r="F367" t="inlineStr">
        <is>
          <t>KALMAR LÄN</t>
        </is>
      </c>
      <c r="G367" t="inlineStr">
        <is>
          <t>MÖNSTERÅS</t>
        </is>
      </c>
      <c r="I367" t="n">
        <v>5.2</v>
      </c>
      <c r="J367" t="n">
        <v>0</v>
      </c>
      <c r="K367" t="n">
        <v>0</v>
      </c>
      <c r="L367" t="n">
        <v>0</v>
      </c>
      <c r="M367" t="n">
        <v>0</v>
      </c>
      <c r="N367" t="n">
        <v>0</v>
      </c>
      <c r="O367" t="n">
        <v>0</v>
      </c>
      <c r="P367" t="n">
        <v>0</v>
      </c>
      <c r="Q367" t="n">
        <v>0</v>
      </c>
      <c r="R367" t="n">
        <v>0</v>
      </c>
      <c r="S367" t="n">
        <v>0</v>
      </c>
      <c r="T367" t="n">
        <v>0</v>
      </c>
      <c r="U367" s="2" t="inlineStr"/>
    </row>
    <row r="368" ht="15" customHeight="1">
      <c r="A368" t="inlineStr">
        <is>
          <t>A 13047-2022</t>
        </is>
      </c>
      <c r="B368" t="inlineStr">
        <is>
          <t>avverkningsanmälan</t>
        </is>
      </c>
      <c r="C368" t="inlineStr">
        <is>
          <t>Föryngringsavverkning</t>
        </is>
      </c>
      <c r="D368" s="1" t="n">
        <v>44643</v>
      </c>
      <c r="E368" s="1" t="n">
        <v>46216</v>
      </c>
      <c r="F368" t="inlineStr">
        <is>
          <t>KALMAR LÄN</t>
        </is>
      </c>
      <c r="G368" t="inlineStr">
        <is>
          <t>MÖNSTERÅS</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55576-2023</t>
        </is>
      </c>
      <c r="B369" t="inlineStr">
        <is>
          <t>avverkningsanmälan</t>
        </is>
      </c>
      <c r="C369" t="inlineStr">
        <is>
          <t>Föryngringsavverkning</t>
        </is>
      </c>
      <c r="D369" s="1" t="n">
        <v>45238</v>
      </c>
      <c r="E369" s="1" t="n">
        <v>46216</v>
      </c>
      <c r="F369" t="inlineStr">
        <is>
          <t>KALMAR LÄN</t>
        </is>
      </c>
      <c r="G369" t="inlineStr">
        <is>
          <t>MÖNSTERÅS</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19947-2023</t>
        </is>
      </c>
      <c r="B370" t="inlineStr">
        <is>
          <t>avverkningsanmälan</t>
        </is>
      </c>
      <c r="C370" t="inlineStr">
        <is>
          <t>Föryngringsavverkning</t>
        </is>
      </c>
      <c r="D370" s="1" t="n">
        <v>45054</v>
      </c>
      <c r="E370" s="1" t="n">
        <v>46216</v>
      </c>
      <c r="F370" t="inlineStr">
        <is>
          <t>KALMAR LÄN</t>
        </is>
      </c>
      <c r="G370" t="inlineStr">
        <is>
          <t>MÖNSTERÅS</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24636-2026</t>
        </is>
      </c>
      <c r="B371" t="inlineStr">
        <is>
          <t>avverkningsanmälan</t>
        </is>
      </c>
      <c r="C371" t="inlineStr">
        <is>
          <t>Föryngringsavverkning</t>
        </is>
      </c>
      <c r="D371" s="1" t="n">
        <v>46171</v>
      </c>
      <c r="E371" s="1" t="n">
        <v>46216</v>
      </c>
      <c r="F371" t="inlineStr">
        <is>
          <t>KALMAR LÄN</t>
        </is>
      </c>
      <c r="G371" t="inlineStr">
        <is>
          <t>MÖNSTERÅS</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44322-2023</t>
        </is>
      </c>
      <c r="B372" t="inlineStr">
        <is>
          <t>avverkningsanmälan</t>
        </is>
      </c>
      <c r="C372" t="inlineStr">
        <is>
          <t>Föryngringsavverkning</t>
        </is>
      </c>
      <c r="D372" s="1" t="n">
        <v>45188</v>
      </c>
      <c r="E372" s="1" t="n">
        <v>46216</v>
      </c>
      <c r="F372" t="inlineStr">
        <is>
          <t>KALMAR LÄN</t>
        </is>
      </c>
      <c r="G372" t="inlineStr">
        <is>
          <t>MÖNSTERÅS</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15598-2025</t>
        </is>
      </c>
      <c r="B373" t="inlineStr">
        <is>
          <t>avverkningsanmälan</t>
        </is>
      </c>
      <c r="C373" t="inlineStr">
        <is>
          <t>Föryngringsavverkning</t>
        </is>
      </c>
      <c r="D373" s="1" t="n">
        <v>45747</v>
      </c>
      <c r="E373" s="1" t="n">
        <v>46216</v>
      </c>
      <c r="F373" t="inlineStr">
        <is>
          <t>KALMAR LÄN</t>
        </is>
      </c>
      <c r="G373" t="inlineStr">
        <is>
          <t>MÖNSTERÅS</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4780-2024</t>
        </is>
      </c>
      <c r="B374" t="inlineStr">
        <is>
          <t>avverkningsanmälan</t>
        </is>
      </c>
      <c r="C374" t="inlineStr">
        <is>
          <t>Föryngringsavverkning</t>
        </is>
      </c>
      <c r="D374" s="1" t="n">
        <v>45328</v>
      </c>
      <c r="E374" s="1" t="n">
        <v>46216</v>
      </c>
      <c r="F374" t="inlineStr">
        <is>
          <t>KALMAR LÄN</t>
        </is>
      </c>
      <c r="G374" t="inlineStr">
        <is>
          <t>MÖNSTERÅS</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61198-2022</t>
        </is>
      </c>
      <c r="B375" t="inlineStr">
        <is>
          <t>avverkningsanmälan</t>
        </is>
      </c>
      <c r="C375" t="inlineStr">
        <is>
          <t>Föryngringsavverkning</t>
        </is>
      </c>
      <c r="D375" s="1" t="n">
        <v>44915</v>
      </c>
      <c r="E375" s="1" t="n">
        <v>46216</v>
      </c>
      <c r="F375" t="inlineStr">
        <is>
          <t>KALMAR LÄN</t>
        </is>
      </c>
      <c r="G375" t="inlineStr">
        <is>
          <t>MÖNSTERÅS</t>
        </is>
      </c>
      <c r="I375" t="n">
        <v>6</v>
      </c>
      <c r="J375" t="n">
        <v>0</v>
      </c>
      <c r="K375" t="n">
        <v>0</v>
      </c>
      <c r="L375" t="n">
        <v>0</v>
      </c>
      <c r="M375" t="n">
        <v>0</v>
      </c>
      <c r="N375" t="n">
        <v>0</v>
      </c>
      <c r="O375" t="n">
        <v>0</v>
      </c>
      <c r="P375" t="n">
        <v>0</v>
      </c>
      <c r="Q375" t="n">
        <v>0</v>
      </c>
      <c r="R375" t="n">
        <v>0</v>
      </c>
      <c r="S375" t="n">
        <v>0</v>
      </c>
      <c r="T375" t="n">
        <v>0</v>
      </c>
      <c r="U375" s="2" t="inlineStr"/>
    </row>
    <row r="376" ht="15" customHeight="1">
      <c r="A376" t="inlineStr">
        <is>
          <t>A 9367-2025</t>
        </is>
      </c>
      <c r="B376" t="inlineStr">
        <is>
          <t>avverkningsanmälan</t>
        </is>
      </c>
      <c r="C376" t="inlineStr">
        <is>
          <t>Föryngringsavverkning</t>
        </is>
      </c>
      <c r="D376" s="1" t="n">
        <v>45715</v>
      </c>
      <c r="E376" s="1" t="n">
        <v>46216</v>
      </c>
      <c r="F376" t="inlineStr">
        <is>
          <t>KALMAR LÄN</t>
        </is>
      </c>
      <c r="G376" t="inlineStr">
        <is>
          <t>MÖNSTERÅS</t>
        </is>
      </c>
      <c r="I376" t="n">
        <v>15.2</v>
      </c>
      <c r="J376" t="n">
        <v>0</v>
      </c>
      <c r="K376" t="n">
        <v>0</v>
      </c>
      <c r="L376" t="n">
        <v>0</v>
      </c>
      <c r="M376" t="n">
        <v>0</v>
      </c>
      <c r="N376" t="n">
        <v>0</v>
      </c>
      <c r="O376" t="n">
        <v>0</v>
      </c>
      <c r="P376" t="n">
        <v>0</v>
      </c>
      <c r="Q376" t="n">
        <v>0</v>
      </c>
      <c r="R376" t="n">
        <v>0</v>
      </c>
      <c r="S376" t="n">
        <v>0</v>
      </c>
      <c r="T376" t="n">
        <v>0</v>
      </c>
      <c r="U376" s="2" t="inlineStr"/>
    </row>
    <row r="377" ht="15" customHeight="1">
      <c r="A377" t="inlineStr">
        <is>
          <t>A 1653-2025</t>
        </is>
      </c>
      <c r="B377" t="inlineStr">
        <is>
          <t>avverkningsanmälan</t>
        </is>
      </c>
      <c r="C377" t="inlineStr">
        <is>
          <t>Föryngringsavverkning</t>
        </is>
      </c>
      <c r="D377" s="1" t="n">
        <v>45670</v>
      </c>
      <c r="E377" s="1" t="n">
        <v>46216</v>
      </c>
      <c r="F377" t="inlineStr">
        <is>
          <t>KALMAR LÄN</t>
        </is>
      </c>
      <c r="G377" t="inlineStr">
        <is>
          <t>MÖNSTERÅS</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26061-2023</t>
        </is>
      </c>
      <c r="B378" t="inlineStr">
        <is>
          <t>avverkningsanmälan</t>
        </is>
      </c>
      <c r="C378" t="inlineStr">
        <is>
          <t>Föryngringsavverkning</t>
        </is>
      </c>
      <c r="D378" s="1" t="n">
        <v>45091</v>
      </c>
      <c r="E378" s="1" t="n">
        <v>46216</v>
      </c>
      <c r="F378" t="inlineStr">
        <is>
          <t>KALMAR LÄN</t>
        </is>
      </c>
      <c r="G378" t="inlineStr">
        <is>
          <t>MÖNSTERÅS</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41581-2024</t>
        </is>
      </c>
      <c r="B379" t="inlineStr">
        <is>
          <t>avverkningsanmälan</t>
        </is>
      </c>
      <c r="C379" t="inlineStr">
        <is>
          <t>Föryngringsavverkning</t>
        </is>
      </c>
      <c r="D379" s="1" t="n">
        <v>45560</v>
      </c>
      <c r="E379" s="1" t="n">
        <v>46216</v>
      </c>
      <c r="F379" t="inlineStr">
        <is>
          <t>KALMAR LÄN</t>
        </is>
      </c>
      <c r="G379" t="inlineStr">
        <is>
          <t>MÖNSTERÅS</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61749-2024</t>
        </is>
      </c>
      <c r="B380" t="inlineStr">
        <is>
          <t>avverkningsanmälan</t>
        </is>
      </c>
      <c r="C380" t="inlineStr">
        <is>
          <t>Föryngringsavverkning</t>
        </is>
      </c>
      <c r="D380" s="1" t="n">
        <v>45649</v>
      </c>
      <c r="E380" s="1" t="n">
        <v>46216</v>
      </c>
      <c r="F380" t="inlineStr">
        <is>
          <t>KALMAR LÄN</t>
        </is>
      </c>
      <c r="G380" t="inlineStr">
        <is>
          <t>MÖNSTERÅS</t>
        </is>
      </c>
      <c r="H380" t="inlineStr">
        <is>
          <t>Övriga Aktiebolag</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36607-2024</t>
        </is>
      </c>
      <c r="B381" t="inlineStr">
        <is>
          <t>avverkningsanmälan</t>
        </is>
      </c>
      <c r="C381" t="inlineStr">
        <is>
          <t>Föryngringsavverkning</t>
        </is>
      </c>
      <c r="D381" s="1" t="n">
        <v>45537</v>
      </c>
      <c r="E381" s="1" t="n">
        <v>46216</v>
      </c>
      <c r="F381" t="inlineStr">
        <is>
          <t>KALMAR LÄN</t>
        </is>
      </c>
      <c r="G381" t="inlineStr">
        <is>
          <t>MÖNSTERÅS</t>
        </is>
      </c>
      <c r="I381" t="n">
        <v>5.8</v>
      </c>
      <c r="J381" t="n">
        <v>0</v>
      </c>
      <c r="K381" t="n">
        <v>0</v>
      </c>
      <c r="L381" t="n">
        <v>0</v>
      </c>
      <c r="M381" t="n">
        <v>0</v>
      </c>
      <c r="N381" t="n">
        <v>0</v>
      </c>
      <c r="O381" t="n">
        <v>0</v>
      </c>
      <c r="P381" t="n">
        <v>0</v>
      </c>
      <c r="Q381" t="n">
        <v>0</v>
      </c>
      <c r="R381" t="n">
        <v>0</v>
      </c>
      <c r="S381" t="n">
        <v>0</v>
      </c>
      <c r="T381" t="n">
        <v>0</v>
      </c>
      <c r="U381" s="2" t="inlineStr"/>
    </row>
    <row r="382" ht="15" customHeight="1">
      <c r="A382" t="inlineStr">
        <is>
          <t>A 61490-2024</t>
        </is>
      </c>
      <c r="B382" t="inlineStr">
        <is>
          <t>avverkningsanmälan</t>
        </is>
      </c>
      <c r="C382" t="inlineStr">
        <is>
          <t>Föryngringsavverkning</t>
        </is>
      </c>
      <c r="D382" s="1" t="n">
        <v>45646</v>
      </c>
      <c r="E382" s="1" t="n">
        <v>46216</v>
      </c>
      <c r="F382" t="inlineStr">
        <is>
          <t>KALMAR LÄN</t>
        </is>
      </c>
      <c r="G382" t="inlineStr">
        <is>
          <t>MÖNSTERÅS</t>
        </is>
      </c>
      <c r="H382" t="inlineStr">
        <is>
          <t>Kommuner</t>
        </is>
      </c>
      <c r="I382" t="n">
        <v>8</v>
      </c>
      <c r="J382" t="n">
        <v>0</v>
      </c>
      <c r="K382" t="n">
        <v>0</v>
      </c>
      <c r="L382" t="n">
        <v>0</v>
      </c>
      <c r="M382" t="n">
        <v>0</v>
      </c>
      <c r="N382" t="n">
        <v>0</v>
      </c>
      <c r="O382" t="n">
        <v>0</v>
      </c>
      <c r="P382" t="n">
        <v>0</v>
      </c>
      <c r="Q382" t="n">
        <v>0</v>
      </c>
      <c r="R382" t="n">
        <v>0</v>
      </c>
      <c r="S382" t="n">
        <v>0</v>
      </c>
      <c r="T382" t="n">
        <v>0</v>
      </c>
      <c r="U382" s="2" t="inlineStr"/>
    </row>
    <row r="383" ht="15" customHeight="1">
      <c r="A383" t="inlineStr">
        <is>
          <t>A 9215-2025</t>
        </is>
      </c>
      <c r="B383" t="inlineStr">
        <is>
          <t>avverkningsanmälan</t>
        </is>
      </c>
      <c r="C383" t="inlineStr">
        <is>
          <t>Föryngringsavverkning</t>
        </is>
      </c>
      <c r="D383" s="1" t="n">
        <v>45714</v>
      </c>
      <c r="E383" s="1" t="n">
        <v>46216</v>
      </c>
      <c r="F383" t="inlineStr">
        <is>
          <t>KALMAR LÄN</t>
        </is>
      </c>
      <c r="G383" t="inlineStr">
        <is>
          <t>MÖNSTERÅS</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61751-2024</t>
        </is>
      </c>
      <c r="B384" t="inlineStr">
        <is>
          <t>avverkningsanmälan</t>
        </is>
      </c>
      <c r="C384" t="inlineStr">
        <is>
          <t>Föryngringsavverkning</t>
        </is>
      </c>
      <c r="D384" s="1" t="n">
        <v>45649</v>
      </c>
      <c r="E384" s="1" t="n">
        <v>46216</v>
      </c>
      <c r="F384" t="inlineStr">
        <is>
          <t>KALMAR LÄN</t>
        </is>
      </c>
      <c r="G384" t="inlineStr">
        <is>
          <t>MÖNSTERÅS</t>
        </is>
      </c>
      <c r="H384" t="inlineStr">
        <is>
          <t>Övriga Aktiebolag</t>
        </is>
      </c>
      <c r="I384" t="n">
        <v>2.7</v>
      </c>
      <c r="J384" t="n">
        <v>0</v>
      </c>
      <c r="K384" t="n">
        <v>0</v>
      </c>
      <c r="L384" t="n">
        <v>0</v>
      </c>
      <c r="M384" t="n">
        <v>0</v>
      </c>
      <c r="N384" t="n">
        <v>0</v>
      </c>
      <c r="O384" t="n">
        <v>0</v>
      </c>
      <c r="P384" t="n">
        <v>0</v>
      </c>
      <c r="Q384" t="n">
        <v>0</v>
      </c>
      <c r="R384" t="n">
        <v>0</v>
      </c>
      <c r="S384" t="n">
        <v>0</v>
      </c>
      <c r="T384" t="n">
        <v>0</v>
      </c>
      <c r="U384" s="2" t="inlineStr"/>
    </row>
    <row r="385" ht="15" customHeight="1">
      <c r="A385" t="inlineStr">
        <is>
          <t>A 23009-2025</t>
        </is>
      </c>
      <c r="B385" t="inlineStr">
        <is>
          <t>avverkningsanmälan</t>
        </is>
      </c>
      <c r="C385" t="inlineStr">
        <is>
          <t>Föryngringsavverkning</t>
        </is>
      </c>
      <c r="D385" s="1" t="n">
        <v>45790</v>
      </c>
      <c r="E385" s="1" t="n">
        <v>46216</v>
      </c>
      <c r="F385" t="inlineStr">
        <is>
          <t>KALMAR LÄN</t>
        </is>
      </c>
      <c r="G385" t="inlineStr">
        <is>
          <t>MÖNSTERÅS</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8222-2025</t>
        </is>
      </c>
      <c r="B386" t="inlineStr">
        <is>
          <t>avverkningsanmälan</t>
        </is>
      </c>
      <c r="C386" t="inlineStr">
        <is>
          <t>Föryngringsavverkning</t>
        </is>
      </c>
      <c r="D386" s="1" t="n">
        <v>45708</v>
      </c>
      <c r="E386" s="1" t="n">
        <v>46216</v>
      </c>
      <c r="F386" t="inlineStr">
        <is>
          <t>KALMAR LÄN</t>
        </is>
      </c>
      <c r="G386" t="inlineStr">
        <is>
          <t>MÖNSTERÅS</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23566-2025</t>
        </is>
      </c>
      <c r="B387" t="inlineStr">
        <is>
          <t>avverkningsanmälan</t>
        </is>
      </c>
      <c r="C387" t="inlineStr">
        <is>
          <t>Föryngringsavverkning</t>
        </is>
      </c>
      <c r="D387" s="1" t="n">
        <v>45792</v>
      </c>
      <c r="E387" s="1" t="n">
        <v>46216</v>
      </c>
      <c r="F387" t="inlineStr">
        <is>
          <t>KALMAR LÄN</t>
        </is>
      </c>
      <c r="G387" t="inlineStr">
        <is>
          <t>MÖNSTERÅS</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23454-2025</t>
        </is>
      </c>
      <c r="B388" t="inlineStr">
        <is>
          <t>avverkningsanmälan</t>
        </is>
      </c>
      <c r="C388" t="inlineStr">
        <is>
          <t>Avverkning för annat ändamål</t>
        </is>
      </c>
      <c r="D388" s="1" t="n">
        <v>45792</v>
      </c>
      <c r="E388" s="1" t="n">
        <v>46216</v>
      </c>
      <c r="F388" t="inlineStr">
        <is>
          <t>KALMAR LÄN</t>
        </is>
      </c>
      <c r="G388" t="inlineStr">
        <is>
          <t>MÖNSTERÅS</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S 1096-2022</t>
        </is>
      </c>
      <c r="B389" t="inlineStr">
        <is>
          <t>samrådsanmälan</t>
        </is>
      </c>
      <c r="C389" t="inlineStr">
        <is>
          <t>Askåterföring</t>
        </is>
      </c>
      <c r="D389" s="1" t="n">
        <v>44614</v>
      </c>
      <c r="E389" s="1" t="n">
        <v>46216</v>
      </c>
      <c r="F389" t="inlineStr">
        <is>
          <t>KALMAR LÄN</t>
        </is>
      </c>
      <c r="G389" t="inlineStr">
        <is>
          <t>MÖNSTERÅS</t>
        </is>
      </c>
      <c r="I389" t="n">
        <v>13.2</v>
      </c>
      <c r="J389" t="n">
        <v>0</v>
      </c>
      <c r="K389" t="n">
        <v>0</v>
      </c>
      <c r="L389" t="n">
        <v>0</v>
      </c>
      <c r="M389" t="n">
        <v>0</v>
      </c>
      <c r="N389" t="n">
        <v>0</v>
      </c>
      <c r="O389" t="n">
        <v>0</v>
      </c>
      <c r="P389" t="n">
        <v>0</v>
      </c>
      <c r="Q389" t="n">
        <v>0</v>
      </c>
      <c r="R389" t="n">
        <v>0</v>
      </c>
      <c r="S389" t="n">
        <v>0</v>
      </c>
      <c r="T389" t="n">
        <v>0</v>
      </c>
      <c r="U389" s="2" t="inlineStr"/>
    </row>
    <row r="390" ht="15" customHeight="1">
      <c r="A390" t="inlineStr">
        <is>
          <t>S 3230-2024</t>
        </is>
      </c>
      <c r="B390" t="inlineStr">
        <is>
          <t>samrådsanmälan</t>
        </is>
      </c>
      <c r="C390" t="inlineStr">
        <is>
          <t>Askåterföring</t>
        </is>
      </c>
      <c r="D390" s="1" t="n">
        <v>45525</v>
      </c>
      <c r="E390" s="1" t="n">
        <v>46216</v>
      </c>
      <c r="F390" t="inlineStr">
        <is>
          <t>KALMAR LÄN</t>
        </is>
      </c>
      <c r="G390" t="inlineStr">
        <is>
          <t>MÖNSTERÅS</t>
        </is>
      </c>
      <c r="I390" t="n">
        <v>15.5</v>
      </c>
      <c r="J390" t="n">
        <v>0</v>
      </c>
      <c r="K390" t="n">
        <v>0</v>
      </c>
      <c r="L390" t="n">
        <v>0</v>
      </c>
      <c r="M390" t="n">
        <v>0</v>
      </c>
      <c r="N390" t="n">
        <v>0</v>
      </c>
      <c r="O390" t="n">
        <v>0</v>
      </c>
      <c r="P390" t="n">
        <v>0</v>
      </c>
      <c r="Q390" t="n">
        <v>0</v>
      </c>
      <c r="R390" t="n">
        <v>0</v>
      </c>
      <c r="S390" t="n">
        <v>0</v>
      </c>
      <c r="T390" t="n">
        <v>0</v>
      </c>
      <c r="U390" s="2" t="inlineStr"/>
    </row>
    <row r="391" ht="15" customHeight="1">
      <c r="A391" t="inlineStr">
        <is>
          <t>S 764-2023</t>
        </is>
      </c>
      <c r="B391" t="inlineStr">
        <is>
          <t>samrådsanmälan</t>
        </is>
      </c>
      <c r="C391" t="inlineStr">
        <is>
          <t>Askåterföring</t>
        </is>
      </c>
      <c r="D391" s="1" t="n">
        <v>44981</v>
      </c>
      <c r="E391" s="1" t="n">
        <v>46216</v>
      </c>
      <c r="F391" t="inlineStr">
        <is>
          <t>KALMAR LÄN</t>
        </is>
      </c>
      <c r="G391" t="inlineStr">
        <is>
          <t>MÖNSTERÅS</t>
        </is>
      </c>
      <c r="I391" t="n">
        <v>32.7</v>
      </c>
      <c r="J391" t="n">
        <v>0</v>
      </c>
      <c r="K391" t="n">
        <v>0</v>
      </c>
      <c r="L391" t="n">
        <v>0</v>
      </c>
      <c r="M391" t="n">
        <v>0</v>
      </c>
      <c r="N391" t="n">
        <v>0</v>
      </c>
      <c r="O391" t="n">
        <v>0</v>
      </c>
      <c r="P391" t="n">
        <v>0</v>
      </c>
      <c r="Q391" t="n">
        <v>0</v>
      </c>
      <c r="R391" t="n">
        <v>0</v>
      </c>
      <c r="S391" t="n">
        <v>0</v>
      </c>
      <c r="T391" t="n">
        <v>0</v>
      </c>
      <c r="U391" s="2" t="inlineStr"/>
    </row>
    <row r="392" ht="15" customHeight="1">
      <c r="A392" t="inlineStr">
        <is>
          <t>S 2377-2024</t>
        </is>
      </c>
      <c r="B392" t="inlineStr">
        <is>
          <t>samrådsanmälan</t>
        </is>
      </c>
      <c r="C392" t="inlineStr">
        <is>
          <t>Askåterföring</t>
        </is>
      </c>
      <c r="D392" s="1" t="n">
        <v>45468</v>
      </c>
      <c r="E392" s="1" t="n">
        <v>46216</v>
      </c>
      <c r="F392" t="inlineStr">
        <is>
          <t>KALMAR LÄN</t>
        </is>
      </c>
      <c r="G392" t="inlineStr">
        <is>
          <t>MÖNSTERÅS</t>
        </is>
      </c>
      <c r="I392" t="n">
        <v>23.1</v>
      </c>
      <c r="J392" t="n">
        <v>0</v>
      </c>
      <c r="K392" t="n">
        <v>0</v>
      </c>
      <c r="L392" t="n">
        <v>0</v>
      </c>
      <c r="M392" t="n">
        <v>0</v>
      </c>
      <c r="N392" t="n">
        <v>0</v>
      </c>
      <c r="O392" t="n">
        <v>0</v>
      </c>
      <c r="P392" t="n">
        <v>0</v>
      </c>
      <c r="Q392" t="n">
        <v>0</v>
      </c>
      <c r="R392" t="n">
        <v>0</v>
      </c>
      <c r="S392" t="n">
        <v>0</v>
      </c>
      <c r="T392" t="n">
        <v>0</v>
      </c>
      <c r="U392" s="2" t="inlineStr"/>
    </row>
    <row r="393" ht="15" customHeight="1">
      <c r="A393" t="inlineStr">
        <is>
          <t>S 142-2023</t>
        </is>
      </c>
      <c r="B393" t="inlineStr">
        <is>
          <t>samrådsanmälan</t>
        </is>
      </c>
      <c r="C393" t="inlineStr">
        <is>
          <t>Askåterföring</t>
        </is>
      </c>
      <c r="D393" s="1" t="n">
        <v>44942</v>
      </c>
      <c r="E393" s="1" t="n">
        <v>46216</v>
      </c>
      <c r="F393" t="inlineStr">
        <is>
          <t>KALMAR LÄN</t>
        </is>
      </c>
      <c r="G393" t="inlineStr">
        <is>
          <t>MÖNSTERÅS</t>
        </is>
      </c>
      <c r="I393" t="n">
        <v>15.8</v>
      </c>
      <c r="J393" t="n">
        <v>0</v>
      </c>
      <c r="K393" t="n">
        <v>0</v>
      </c>
      <c r="L393" t="n">
        <v>0</v>
      </c>
      <c r="M393" t="n">
        <v>0</v>
      </c>
      <c r="N393" t="n">
        <v>0</v>
      </c>
      <c r="O393" t="n">
        <v>0</v>
      </c>
      <c r="P393" t="n">
        <v>0</v>
      </c>
      <c r="Q393" t="n">
        <v>0</v>
      </c>
      <c r="R393" t="n">
        <v>0</v>
      </c>
      <c r="S393" t="n">
        <v>0</v>
      </c>
      <c r="T393" t="n">
        <v>0</v>
      </c>
      <c r="U393" s="2" t="inlineStr"/>
    </row>
    <row r="394" ht="15" customHeight="1">
      <c r="A394" t="inlineStr">
        <is>
          <t>S 579-2023</t>
        </is>
      </c>
      <c r="B394" t="inlineStr">
        <is>
          <t>samrådsanmälan</t>
        </is>
      </c>
      <c r="C394" t="inlineStr">
        <is>
          <t>Askåterföring</t>
        </is>
      </c>
      <c r="D394" s="1" t="n">
        <v>44971</v>
      </c>
      <c r="E394" s="1" t="n">
        <v>46216</v>
      </c>
      <c r="F394" t="inlineStr">
        <is>
          <t>KALMAR LÄN</t>
        </is>
      </c>
      <c r="G394" t="inlineStr">
        <is>
          <t>MÖNSTERÅS</t>
        </is>
      </c>
      <c r="I394" t="n">
        <v>29.4</v>
      </c>
      <c r="J394" t="n">
        <v>0</v>
      </c>
      <c r="K394" t="n">
        <v>0</v>
      </c>
      <c r="L394" t="n">
        <v>0</v>
      </c>
      <c r="M394" t="n">
        <v>0</v>
      </c>
      <c r="N394" t="n">
        <v>0</v>
      </c>
      <c r="O394" t="n">
        <v>0</v>
      </c>
      <c r="P394" t="n">
        <v>0</v>
      </c>
      <c r="Q394" t="n">
        <v>0</v>
      </c>
      <c r="R394" t="n">
        <v>0</v>
      </c>
      <c r="S394" t="n">
        <v>0</v>
      </c>
      <c r="T394" t="n">
        <v>0</v>
      </c>
      <c r="U394" s="2" t="inlineStr"/>
    </row>
    <row r="395" ht="15" customHeight="1">
      <c r="A395" t="inlineStr">
        <is>
          <t>S 10272-2021</t>
        </is>
      </c>
      <c r="B395" t="inlineStr">
        <is>
          <t>samrådsanmälan</t>
        </is>
      </c>
      <c r="C395" t="inlineStr">
        <is>
          <t>Åtgärd i nyckelbiotop</t>
        </is>
      </c>
      <c r="D395" s="1" t="n">
        <v>44545</v>
      </c>
      <c r="E395" s="1" t="n">
        <v>46216</v>
      </c>
      <c r="F395" t="inlineStr">
        <is>
          <t>KALMAR LÄN</t>
        </is>
      </c>
      <c r="G395" t="inlineStr">
        <is>
          <t>MÖNSTERÅS</t>
        </is>
      </c>
      <c r="I395" t="n">
        <v>1.6</v>
      </c>
      <c r="J395" t="n">
        <v>0</v>
      </c>
      <c r="K395" t="n">
        <v>0</v>
      </c>
      <c r="L395" t="n">
        <v>0</v>
      </c>
      <c r="M395" t="n">
        <v>0</v>
      </c>
      <c r="N395" t="n">
        <v>0</v>
      </c>
      <c r="O395" t="n">
        <v>0</v>
      </c>
      <c r="P395" t="n">
        <v>0</v>
      </c>
      <c r="Q395" t="n">
        <v>0</v>
      </c>
      <c r="R395" t="n">
        <v>0</v>
      </c>
      <c r="S395" t="n">
        <v>0</v>
      </c>
      <c r="T395" t="n">
        <v>0</v>
      </c>
      <c r="U395" s="2" t="inlineStr"/>
    </row>
    <row r="396" ht="15" customHeight="1">
      <c r="A396" t="inlineStr">
        <is>
          <t>S 2148-2022</t>
        </is>
      </c>
      <c r="B396" t="inlineStr">
        <is>
          <t>samrådsanmälan</t>
        </is>
      </c>
      <c r="C396" t="inlineStr">
        <is>
          <t>Åtgärd i nyckelbiotop</t>
        </is>
      </c>
      <c r="D396" s="1" t="n">
        <v>44677</v>
      </c>
      <c r="E396" s="1" t="n">
        <v>46216</v>
      </c>
      <c r="F396" t="inlineStr">
        <is>
          <t>KALMAR LÄN</t>
        </is>
      </c>
      <c r="G396" t="inlineStr">
        <is>
          <t>MÖNSTERÅS</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S 1097-2022</t>
        </is>
      </c>
      <c r="B397" t="inlineStr">
        <is>
          <t>samrådsanmälan</t>
        </is>
      </c>
      <c r="C397" t="inlineStr">
        <is>
          <t>Askåterföring</t>
        </is>
      </c>
      <c r="D397" s="1" t="n">
        <v>44614</v>
      </c>
      <c r="E397" s="1" t="n">
        <v>46216</v>
      </c>
      <c r="F397" t="inlineStr">
        <is>
          <t>KALMAR LÄN</t>
        </is>
      </c>
      <c r="G397" t="inlineStr">
        <is>
          <t>MÖNSTERÅS</t>
        </is>
      </c>
      <c r="I397" t="n">
        <v>7.6</v>
      </c>
      <c r="J397" t="n">
        <v>0</v>
      </c>
      <c r="K397" t="n">
        <v>0</v>
      </c>
      <c r="L397" t="n">
        <v>0</v>
      </c>
      <c r="M397" t="n">
        <v>0</v>
      </c>
      <c r="N397" t="n">
        <v>0</v>
      </c>
      <c r="O397" t="n">
        <v>0</v>
      </c>
      <c r="P397" t="n">
        <v>0</v>
      </c>
      <c r="Q397" t="n">
        <v>0</v>
      </c>
      <c r="R397" t="n">
        <v>0</v>
      </c>
      <c r="S397" t="n">
        <v>0</v>
      </c>
      <c r="T397" t="n">
        <v>0</v>
      </c>
      <c r="U397" s="2" t="inlineStr"/>
    </row>
    <row r="398" ht="15" customHeight="1">
      <c r="A398" t="inlineStr">
        <is>
          <t>S 2407-2022</t>
        </is>
      </c>
      <c r="B398" t="inlineStr">
        <is>
          <t>samrådsanmälan</t>
        </is>
      </c>
      <c r="C398" t="inlineStr">
        <is>
          <t>Annan skogsbruksåtgärd</t>
        </is>
      </c>
      <c r="D398" s="1" t="n">
        <v>44690</v>
      </c>
      <c r="E398" s="1" t="n">
        <v>46216</v>
      </c>
      <c r="F398" t="inlineStr">
        <is>
          <t>KALMAR LÄN</t>
        </is>
      </c>
      <c r="G398" t="inlineStr">
        <is>
          <t>MÖNSTERÅS</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S 443-2023</t>
        </is>
      </c>
      <c r="B399" t="inlineStr">
        <is>
          <t>samrådsanmälan</t>
        </is>
      </c>
      <c r="C399" t="inlineStr">
        <is>
          <t>Askåterföring</t>
        </is>
      </c>
      <c r="D399" s="1" t="n">
        <v>44963</v>
      </c>
      <c r="E399" s="1" t="n">
        <v>46216</v>
      </c>
      <c r="F399" t="inlineStr">
        <is>
          <t>KALMAR LÄN</t>
        </is>
      </c>
      <c r="G399" t="inlineStr">
        <is>
          <t>MÖNSTERÅS</t>
        </is>
      </c>
      <c r="I399" t="n">
        <v>18.3</v>
      </c>
      <c r="J399" t="n">
        <v>0</v>
      </c>
      <c r="K399" t="n">
        <v>0</v>
      </c>
      <c r="L399" t="n">
        <v>0</v>
      </c>
      <c r="M399" t="n">
        <v>0</v>
      </c>
      <c r="N399" t="n">
        <v>0</v>
      </c>
      <c r="O399" t="n">
        <v>0</v>
      </c>
      <c r="P399" t="n">
        <v>0</v>
      </c>
      <c r="Q399" t="n">
        <v>0</v>
      </c>
      <c r="R399" t="n">
        <v>0</v>
      </c>
      <c r="S399" t="n">
        <v>0</v>
      </c>
      <c r="T399" t="n">
        <v>0</v>
      </c>
      <c r="U399" s="2" t="inlineStr"/>
    </row>
    <row r="400" ht="15" customHeight="1">
      <c r="A400" t="inlineStr">
        <is>
          <t>S 4860-2024</t>
        </is>
      </c>
      <c r="B400" t="inlineStr">
        <is>
          <t>samrådsanmälan</t>
        </is>
      </c>
      <c r="C400" t="inlineStr">
        <is>
          <t>Askåterföring</t>
        </is>
      </c>
      <c r="D400" s="1" t="n">
        <v>45617</v>
      </c>
      <c r="E400" s="1" t="n">
        <v>46216</v>
      </c>
      <c r="F400" t="inlineStr">
        <is>
          <t>KALMAR LÄN</t>
        </is>
      </c>
      <c r="G400" t="inlineStr">
        <is>
          <t>MÖNSTERÅS</t>
        </is>
      </c>
      <c r="I400" t="n">
        <v>13.6</v>
      </c>
      <c r="J400" t="n">
        <v>0</v>
      </c>
      <c r="K400" t="n">
        <v>0</v>
      </c>
      <c r="L400" t="n">
        <v>0</v>
      </c>
      <c r="M400" t="n">
        <v>0</v>
      </c>
      <c r="N400" t="n">
        <v>0</v>
      </c>
      <c r="O400" t="n">
        <v>0</v>
      </c>
      <c r="P400" t="n">
        <v>0</v>
      </c>
      <c r="Q400" t="n">
        <v>0</v>
      </c>
      <c r="R400" t="n">
        <v>0</v>
      </c>
      <c r="S400" t="n">
        <v>0</v>
      </c>
      <c r="T400" t="n">
        <v>0</v>
      </c>
      <c r="U400" s="2" t="inlineStr"/>
    </row>
    <row r="401" ht="15" customHeight="1">
      <c r="A401" t="inlineStr">
        <is>
          <t>S 2838-2025</t>
        </is>
      </c>
      <c r="B401" t="inlineStr">
        <is>
          <t>samrådsanmälan</t>
        </is>
      </c>
      <c r="C401" t="inlineStr">
        <is>
          <t>Annan skogsbruksåtgärd</t>
        </is>
      </c>
      <c r="D401" s="1" t="n">
        <v>45940</v>
      </c>
      <c r="E401" s="1" t="n">
        <v>46216</v>
      </c>
      <c r="F401" t="inlineStr">
        <is>
          <t>KALMAR LÄN</t>
        </is>
      </c>
      <c r="G401" t="inlineStr">
        <is>
          <t>MÖNSTERÅS</t>
        </is>
      </c>
      <c r="I401" t="n">
        <v>2</v>
      </c>
      <c r="J401" t="n">
        <v>0</v>
      </c>
      <c r="K401" t="n">
        <v>0</v>
      </c>
      <c r="L401" t="n">
        <v>0</v>
      </c>
      <c r="M401" t="n">
        <v>0</v>
      </c>
      <c r="N401" t="n">
        <v>0</v>
      </c>
      <c r="O401" t="n">
        <v>0</v>
      </c>
      <c r="P401" t="n">
        <v>0</v>
      </c>
      <c r="Q401" t="n">
        <v>0</v>
      </c>
      <c r="R401" t="n">
        <v>0</v>
      </c>
      <c r="S401" t="n">
        <v>0</v>
      </c>
      <c r="T401" t="n">
        <v>0</v>
      </c>
      <c r="U401" s="2" t="inlineStr"/>
    </row>
    <row r="402" ht="15" customHeight="1">
      <c r="A402" t="inlineStr">
        <is>
          <t>S 3502-2025</t>
        </is>
      </c>
      <c r="B402" t="inlineStr">
        <is>
          <t>samrådsanmälan</t>
        </is>
      </c>
      <c r="C402" t="inlineStr">
        <is>
          <t>Annan skogsbruksåtgärd</t>
        </is>
      </c>
      <c r="D402" s="1" t="n">
        <v>46003</v>
      </c>
      <c r="E402" s="1" t="n">
        <v>46216</v>
      </c>
      <c r="F402" t="inlineStr">
        <is>
          <t>KALMAR LÄN</t>
        </is>
      </c>
      <c r="G402" t="inlineStr">
        <is>
          <t>MÖNSTERÅS</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S 342-2026</t>
        </is>
      </c>
      <c r="B403" t="inlineStr">
        <is>
          <t>samrådsanmälan</t>
        </is>
      </c>
      <c r="C403" t="inlineStr">
        <is>
          <t>Askåterföring</t>
        </is>
      </c>
      <c r="D403" s="1" t="n">
        <v>46063</v>
      </c>
      <c r="E403" s="1" t="n">
        <v>46216</v>
      </c>
      <c r="F403" t="inlineStr">
        <is>
          <t>KALMAR LÄN</t>
        </is>
      </c>
      <c r="G403" t="inlineStr">
        <is>
          <t>MÖNSTERÅS</t>
        </is>
      </c>
      <c r="I403" t="n">
        <v>6.4</v>
      </c>
      <c r="J403" t="n">
        <v>0</v>
      </c>
      <c r="K403" t="n">
        <v>0</v>
      </c>
      <c r="L403" t="n">
        <v>0</v>
      </c>
      <c r="M403" t="n">
        <v>0</v>
      </c>
      <c r="N403" t="n">
        <v>0</v>
      </c>
      <c r="O403" t="n">
        <v>0</v>
      </c>
      <c r="P403" t="n">
        <v>0</v>
      </c>
      <c r="Q403" t="n">
        <v>0</v>
      </c>
      <c r="R403" t="n">
        <v>0</v>
      </c>
      <c r="S403" t="n">
        <v>0</v>
      </c>
      <c r="T403" t="n">
        <v>0</v>
      </c>
      <c r="U403" s="2" t="inlineStr"/>
    </row>
    <row r="404">
      <c r="A404" t="inlineStr">
        <is>
          <t>S 759-2026</t>
        </is>
      </c>
      <c r="B404" t="inlineStr">
        <is>
          <t>samrådsanmälan</t>
        </is>
      </c>
      <c r="C404" t="inlineStr">
        <is>
          <t>Annan skogsbruksåtgärd</t>
        </is>
      </c>
      <c r="D404" s="1" t="n">
        <v>46097</v>
      </c>
      <c r="E404" s="1" t="n">
        <v>46216</v>
      </c>
      <c r="F404" t="inlineStr">
        <is>
          <t>KALMAR LÄN</t>
        </is>
      </c>
      <c r="G404" t="inlineStr">
        <is>
          <t>MÖNSTERÅS</t>
        </is>
      </c>
      <c r="I404" t="n">
        <v>2.2</v>
      </c>
      <c r="J404" t="n">
        <v>0</v>
      </c>
      <c r="K404" t="n">
        <v>0</v>
      </c>
      <c r="L404" t="n">
        <v>0</v>
      </c>
      <c r="M404" t="n">
        <v>0</v>
      </c>
      <c r="N404" t="n">
        <v>0</v>
      </c>
      <c r="O404" t="n">
        <v>0</v>
      </c>
      <c r="P404" t="n">
        <v>0</v>
      </c>
      <c r="Q404" t="n">
        <v>0</v>
      </c>
      <c r="R404" t="n">
        <v>0</v>
      </c>
      <c r="S404" t="n">
        <v>0</v>
      </c>
      <c r="T404" t="n">
        <v>0</v>
      </c>
      <c r="U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2026-07-13T14:50:55Z</dcterms:created>
  <dcterms:modified xmlns:dcterms="http://purl.org/dc/terms/" xmlns:xsi="http://www.w3.org/2001/XMLSchema-instance" xsi:type="dcterms:W3CDTF">2026-07-13T14:50:56Z</dcterms:modified>
</cp:coreProperties>
</file>
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46190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46148.64556712963</v>
      </c>
      <c r="C4" s="1" t="n">
        <v>46190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Ullticka
Vedtrappmossa
Blåmossa
Bronshjon
Kornknutmossa
Stor revmossa
Västlig hakmossa
Vågbandad barkbock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46190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11</v>
      </c>
      <c r="R5" s="2" t="inlineStr">
        <is>
          <t>Rynkskinn
Kolflarnlav
Spillkråka
Tallticka
Talltita
Ullticka
Vedskivlav
Blåmossa
Brandticka
Vågbandad barkbock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46190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46190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46190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37983-2023</t>
        </is>
      </c>
      <c r="B9" s="1" t="n">
        <v>45160</v>
      </c>
      <c r="C9" s="1" t="n">
        <v>46190</v>
      </c>
      <c r="D9" t="inlineStr">
        <is>
          <t>KALMAR LÄN</t>
        </is>
      </c>
      <c r="E9" t="inlineStr">
        <is>
          <t>MÖNSTERÅS</t>
        </is>
      </c>
      <c r="G9" t="n">
        <v>13.8</v>
      </c>
      <c r="H9" t="n">
        <v>6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Barbastell
Brunlångöra
Nordfladdermus
Grönpyrola
Dvärgpipistrell
Större brunfladdermus</t>
        </is>
      </c>
      <c r="S9">
        <f>HYPERLINK("https://klasma.github.io/Logging_0861/artfynd/A 37983-2023 artfynd.xlsx", "A 37983-2023")</f>
        <v/>
      </c>
      <c r="T9">
        <f>HYPERLINK("https://klasma.github.io/Logging_0861/kartor/A 37983-2023 karta.png", "A 37983-2023")</f>
        <v/>
      </c>
      <c r="U9">
        <f>HYPERLINK("https://klasma.github.io/Logging_0861/knärot/A 37983-2023 karta knärot.png", "A 37983-2023")</f>
        <v/>
      </c>
      <c r="V9">
        <f>HYPERLINK("https://klasma.github.io/Logging_0861/klagomål/A 37983-2023 FSC-klagomål.docx", "A 37983-2023")</f>
        <v/>
      </c>
      <c r="W9">
        <f>HYPERLINK("https://klasma.github.io/Logging_0861/klagomålsmail/A 37983-2023 FSC-klagomål mail.docx", "A 37983-2023")</f>
        <v/>
      </c>
      <c r="X9">
        <f>HYPERLINK("https://klasma.github.io/Logging_0861/tillsyn/A 37983-2023 tillsynsbegäran.docx", "A 37983-2023")</f>
        <v/>
      </c>
      <c r="Y9">
        <f>HYPERLINK("https://klasma.github.io/Logging_0861/tillsynsmail/A 37983-2023 tillsynsbegäran mail.docx", "A 37983-2023")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46190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46190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16874-2026</t>
        </is>
      </c>
      <c r="B12" s="1" t="n">
        <v>46113.58829861111</v>
      </c>
      <c r="C12" s="1" t="n">
        <v>46190</v>
      </c>
      <c r="D12" t="inlineStr">
        <is>
          <t>KALMAR LÄN</t>
        </is>
      </c>
      <c r="E12" t="inlineStr">
        <is>
          <t>MÖNSTERÅS</t>
        </is>
      </c>
      <c r="F12" t="inlineStr">
        <is>
          <t>Kommuner</t>
        </is>
      </c>
      <c r="G12" t="n">
        <v>4.6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Spillkråka
Talltita
Björksplintborre
Blåmossa
Brandticka
Grovticka</t>
        </is>
      </c>
      <c r="S12">
        <f>HYPERLINK("https://klasma.github.io/Logging_0861/artfynd/A 16874-2026 artfynd.xlsx", "A 16874-2026")</f>
        <v/>
      </c>
      <c r="T12">
        <f>HYPERLINK("https://klasma.github.io/Logging_0861/kartor/A 16874-2026 karta.png", "A 16874-2026")</f>
        <v/>
      </c>
      <c r="V12">
        <f>HYPERLINK("https://klasma.github.io/Logging_0861/klagomål/A 16874-2026 FSC-klagomål.docx", "A 16874-2026")</f>
        <v/>
      </c>
      <c r="W12">
        <f>HYPERLINK("https://klasma.github.io/Logging_0861/klagomålsmail/A 16874-2026 FSC-klagomål mail.docx", "A 16874-2026")</f>
        <v/>
      </c>
      <c r="X12">
        <f>HYPERLINK("https://klasma.github.io/Logging_0861/tillsyn/A 16874-2026 tillsynsbegäran.docx", "A 16874-2026")</f>
        <v/>
      </c>
      <c r="Y12">
        <f>HYPERLINK("https://klasma.github.io/Logging_0861/tillsynsmail/A 16874-2026 tillsynsbegäran mail.docx", "A 16874-2026")</f>
        <v/>
      </c>
      <c r="Z12">
        <f>HYPERLINK("https://klasma.github.io/Logging_0861/fåglar/A 16874-2026 prioriterade fågelarter.docx", "A 16874-2026")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46190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16769-2026</t>
        </is>
      </c>
      <c r="B14" s="1" t="n">
        <v>46113.43306712963</v>
      </c>
      <c r="C14" s="1" t="n">
        <v>46190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1.8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Spillkråka
Blåmossa
Grön sköldmossa
Stubbspretmossa</t>
        </is>
      </c>
      <c r="S14">
        <f>HYPERLINK("https://klasma.github.io/Logging_0861/artfynd/A 16769-2026 artfynd.xlsx", "A 16769-2026")</f>
        <v/>
      </c>
      <c r="T14">
        <f>HYPERLINK("https://klasma.github.io/Logging_0861/kartor/A 16769-2026 karta.png", "A 16769-2026")</f>
        <v/>
      </c>
      <c r="U14">
        <f>HYPERLINK("https://klasma.github.io/Logging_0861/knärot/A 16769-2026 karta knärot.png", "A 16769-2026")</f>
        <v/>
      </c>
      <c r="V14">
        <f>HYPERLINK("https://klasma.github.io/Logging_0861/klagomål/A 16769-2026 FSC-klagomål.docx", "A 16769-2026")</f>
        <v/>
      </c>
      <c r="W14">
        <f>HYPERLINK("https://klasma.github.io/Logging_0861/klagomålsmail/A 16769-2026 FSC-klagomål mail.docx", "A 16769-2026")</f>
        <v/>
      </c>
      <c r="X14">
        <f>HYPERLINK("https://klasma.github.io/Logging_0861/tillsyn/A 16769-2026 tillsynsbegäran.docx", "A 16769-2026")</f>
        <v/>
      </c>
      <c r="Y14">
        <f>HYPERLINK("https://klasma.github.io/Logging_0861/tillsynsmail/A 16769-2026 tillsynsbegäran mail.docx", "A 16769-2026")</f>
        <v/>
      </c>
      <c r="Z14">
        <f>HYPERLINK("https://klasma.github.io/Logging_0861/fåglar/A 16769-2026 prioriterade fågelarter.docx", "A 16769-2026")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46190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46190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46190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46190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46190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46190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16776-2026</t>
        </is>
      </c>
      <c r="B21" s="1" t="n">
        <v>46113.44998842593</v>
      </c>
      <c r="C21" s="1" t="n">
        <v>46190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1.2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Grönsiska
Kungsfågel
Revlummer</t>
        </is>
      </c>
      <c r="S21">
        <f>HYPERLINK("https://klasma.github.io/Logging_0861/artfynd/A 16776-2026 artfynd.xlsx", "A 16776-2026")</f>
        <v/>
      </c>
      <c r="T21">
        <f>HYPERLINK("https://klasma.github.io/Logging_0861/kartor/A 16776-2026 karta.png", "A 16776-2026")</f>
        <v/>
      </c>
      <c r="V21">
        <f>HYPERLINK("https://klasma.github.io/Logging_0861/klagomål/A 16776-2026 FSC-klagomål.docx", "A 16776-2026")</f>
        <v/>
      </c>
      <c r="W21">
        <f>HYPERLINK("https://klasma.github.io/Logging_0861/klagomålsmail/A 16776-2026 FSC-klagomål mail.docx", "A 16776-2026")</f>
        <v/>
      </c>
      <c r="X21">
        <f>HYPERLINK("https://klasma.github.io/Logging_0861/tillsyn/A 16776-2026 tillsynsbegäran.docx", "A 16776-2026")</f>
        <v/>
      </c>
      <c r="Y21">
        <f>HYPERLINK("https://klasma.github.io/Logging_0861/tillsynsmail/A 16776-2026 tillsynsbegäran mail.docx", "A 16776-2026")</f>
        <v/>
      </c>
      <c r="Z21">
        <f>HYPERLINK("https://klasma.github.io/Logging_0861/fåglar/A 16776-2026 prioriterade fågelarter.docx", "A 16776-2026")</f>
        <v/>
      </c>
    </row>
    <row r="22" ht="15" customHeight="1">
      <c r="A22" t="inlineStr">
        <is>
          <t>A 23226-2026</t>
        </is>
      </c>
      <c r="B22" s="1" t="n">
        <v>46162.37988425926</v>
      </c>
      <c r="C22" s="1" t="n">
        <v>46190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Grönpyrola
Murgröna
Blåsippa</t>
        </is>
      </c>
      <c r="S22">
        <f>HYPERLINK("https://klasma.github.io/Logging_0861/artfynd/A 23226-2026 artfynd.xlsx", "A 23226-2026")</f>
        <v/>
      </c>
      <c r="T22">
        <f>HYPERLINK("https://klasma.github.io/Logging_0861/kartor/A 23226-2026 karta.png", "A 23226-2026")</f>
        <v/>
      </c>
      <c r="V22">
        <f>HYPERLINK("https://klasma.github.io/Logging_0861/klagomål/A 23226-2026 FSC-klagomål.docx", "A 23226-2026")</f>
        <v/>
      </c>
      <c r="W22">
        <f>HYPERLINK("https://klasma.github.io/Logging_0861/klagomålsmail/A 23226-2026 FSC-klagomål mail.docx", "A 23226-2026")</f>
        <v/>
      </c>
      <c r="X22">
        <f>HYPERLINK("https://klasma.github.io/Logging_0861/tillsyn/A 23226-2026 tillsynsbegäran.docx", "A 23226-2026")</f>
        <v/>
      </c>
      <c r="Y22">
        <f>HYPERLINK("https://klasma.github.io/Logging_0861/tillsynsmail/A 23226-2026 tillsynsbegäran mail.docx", "A 23226-2026")</f>
        <v/>
      </c>
    </row>
    <row r="23" ht="15" customHeight="1">
      <c r="A23" t="inlineStr">
        <is>
          <t>A 11926-2023</t>
        </is>
      </c>
      <c r="B23" s="1" t="n">
        <v>44993</v>
      </c>
      <c r="C23" s="1" t="n">
        <v>46190</v>
      </c>
      <c r="D23" t="inlineStr">
        <is>
          <t>KALMAR LÄN</t>
        </is>
      </c>
      <c r="E23" t="inlineStr">
        <is>
          <t>MÖNSTERÅS</t>
        </is>
      </c>
      <c r="G23" t="n">
        <v>3.7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Nattskärra
Skogsödla</t>
        </is>
      </c>
      <c r="S23">
        <f>HYPERLINK("https://klasma.github.io/Logging_0861/artfynd/A 11926-2023 artfynd.xlsx", "A 11926-2023")</f>
        <v/>
      </c>
      <c r="T23">
        <f>HYPERLINK("https://klasma.github.io/Logging_0861/kartor/A 11926-2023 karta.png", "A 11926-2023")</f>
        <v/>
      </c>
      <c r="V23">
        <f>HYPERLINK("https://klasma.github.io/Logging_0861/klagomål/A 11926-2023 FSC-klagomål.docx", "A 11926-2023")</f>
        <v/>
      </c>
      <c r="W23">
        <f>HYPERLINK("https://klasma.github.io/Logging_0861/klagomålsmail/A 11926-2023 FSC-klagomål mail.docx", "A 11926-2023")</f>
        <v/>
      </c>
      <c r="X23">
        <f>HYPERLINK("https://klasma.github.io/Logging_0861/tillsyn/A 11926-2023 tillsynsbegäran.docx", "A 11926-2023")</f>
        <v/>
      </c>
      <c r="Y23">
        <f>HYPERLINK("https://klasma.github.io/Logging_0861/tillsynsmail/A 11926-2023 tillsynsbegäran mail.docx", "A 11926-2023")</f>
        <v/>
      </c>
      <c r="Z23">
        <f>HYPERLINK("https://klasma.github.io/Logging_0861/fåglar/A 11926-2023 prioriterade fågelarter.docx", "A 11926-2023")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46190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46190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46190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46190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46190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36372-2023</t>
        </is>
      </c>
      <c r="B29" s="1" t="n">
        <v>45152.50440972222</v>
      </c>
      <c r="C29" s="1" t="n">
        <v>46190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Sotlav
Thomsons trägnagare</t>
        </is>
      </c>
      <c r="S29">
        <f>HYPERLINK("https://klasma.github.io/Logging_0861/artfynd/A 36372-2023 artfynd.xlsx", "A 36372-2023")</f>
        <v/>
      </c>
      <c r="T29">
        <f>HYPERLINK("https://klasma.github.io/Logging_0861/kartor/A 36372-2023 karta.png", "A 36372-2023")</f>
        <v/>
      </c>
      <c r="V29">
        <f>HYPERLINK("https://klasma.github.io/Logging_0861/klagomål/A 36372-2023 FSC-klagomål.docx", "A 36372-2023")</f>
        <v/>
      </c>
      <c r="W29">
        <f>HYPERLINK("https://klasma.github.io/Logging_0861/klagomålsmail/A 36372-2023 FSC-klagomål mail.docx", "A 36372-2023")</f>
        <v/>
      </c>
      <c r="X29">
        <f>HYPERLINK("https://klasma.github.io/Logging_0861/tillsyn/A 36372-2023 tillsynsbegäran.docx", "A 36372-2023")</f>
        <v/>
      </c>
      <c r="Y29">
        <f>HYPERLINK("https://klasma.github.io/Logging_0861/tillsynsmail/A 36372-2023 tillsynsbegäran mail.docx", "A 36372-2023")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46190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46190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46190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46190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46190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46190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46190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21800-2026</t>
        </is>
      </c>
      <c r="B37" s="1" t="n">
        <v>46150.43640046296</v>
      </c>
      <c r="C37" s="1" t="n">
        <v>46190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4.6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Järnsparv</t>
        </is>
      </c>
      <c r="S37">
        <f>HYPERLINK("https://klasma.github.io/Logging_0861/artfynd/A 21800-2026 artfynd.xlsx", "A 21800-2026")</f>
        <v/>
      </c>
      <c r="T37">
        <f>HYPERLINK("https://klasma.github.io/Logging_0861/kartor/A 21800-2026 karta.png", "A 21800-2026")</f>
        <v/>
      </c>
      <c r="V37">
        <f>HYPERLINK("https://klasma.github.io/Logging_0861/klagomål/A 21800-2026 FSC-klagomål.docx", "A 21800-2026")</f>
        <v/>
      </c>
      <c r="W37">
        <f>HYPERLINK("https://klasma.github.io/Logging_0861/klagomålsmail/A 21800-2026 FSC-klagomål mail.docx", "A 21800-2026")</f>
        <v/>
      </c>
      <c r="X37">
        <f>HYPERLINK("https://klasma.github.io/Logging_0861/tillsyn/A 21800-2026 tillsynsbegäran.docx", "A 21800-2026")</f>
        <v/>
      </c>
      <c r="Y37">
        <f>HYPERLINK("https://klasma.github.io/Logging_0861/tillsynsmail/A 21800-2026 tillsynsbegäran mail.docx", "A 21800-2026")</f>
        <v/>
      </c>
      <c r="Z37">
        <f>HYPERLINK("https://klasma.github.io/Logging_0861/fåglar/A 21800-2026 prioriterade fågelarter.docx", "A 21800-2026")</f>
        <v/>
      </c>
    </row>
    <row r="38" ht="15" customHeight="1">
      <c r="A38" t="inlineStr">
        <is>
          <t>A 16859-2026</t>
        </is>
      </c>
      <c r="B38" s="1" t="n">
        <v>46113.57039351852</v>
      </c>
      <c r="C38" s="1" t="n">
        <v>46190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HYPERLINK("https://klasma.github.io/Logging_0861/artfynd/A 16859-2026 artfynd.xlsx", "A 16859-2026")</f>
        <v/>
      </c>
      <c r="T38">
        <f>HYPERLINK("https://klasma.github.io/Logging_0861/kartor/A 16859-2026 karta.png", "A 16859-2026")</f>
        <v/>
      </c>
      <c r="V38">
        <f>HYPERLINK("https://klasma.github.io/Logging_0861/klagomål/A 16859-2026 FSC-klagomål.docx", "A 16859-2026")</f>
        <v/>
      </c>
      <c r="W38">
        <f>HYPERLINK("https://klasma.github.io/Logging_0861/klagomålsmail/A 16859-2026 FSC-klagomål mail.docx", "A 16859-2026")</f>
        <v/>
      </c>
      <c r="X38">
        <f>HYPERLINK("https://klasma.github.io/Logging_0861/tillsyn/A 16859-2026 tillsynsbegäran.docx", "A 16859-2026")</f>
        <v/>
      </c>
      <c r="Y38">
        <f>HYPERLINK("https://klasma.github.io/Logging_0861/tillsynsmail/A 16859-2026 tillsynsbegäran mail.docx", "A 16859-2026")</f>
        <v/>
      </c>
      <c r="Z38">
        <f>HYPERLINK("https://klasma.github.io/Logging_0861/fåglar/A 16859-2026 prioriterade fågelarter.docx", "A 16859-2026")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46190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46190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46190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46190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46190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46190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46190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25605-2024</t>
        </is>
      </c>
      <c r="B46" s="1" t="n">
        <v>45463.63111111111</v>
      </c>
      <c r="C46" s="1" t="n">
        <v>46190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HYPERLINK("https://klasma.github.io/Logging_0861/artfynd/A 25605-2024 artfynd.xlsx", "A 25605-2024")</f>
        <v/>
      </c>
      <c r="T46">
        <f>HYPERLINK("https://klasma.github.io/Logging_0861/kartor/A 25605-2024 karta.png", "A 25605-2024")</f>
        <v/>
      </c>
      <c r="V46">
        <f>HYPERLINK("https://klasma.github.io/Logging_0861/klagomål/A 25605-2024 FSC-klagomål.docx", "A 25605-2024")</f>
        <v/>
      </c>
      <c r="W46">
        <f>HYPERLINK("https://klasma.github.io/Logging_0861/klagomålsmail/A 25605-2024 FSC-klagomål mail.docx", "A 25605-2024")</f>
        <v/>
      </c>
      <c r="X46">
        <f>HYPERLINK("https://klasma.github.io/Logging_0861/tillsyn/A 25605-2024 tillsynsbegäran.docx", "A 25605-2024")</f>
        <v/>
      </c>
      <c r="Y46">
        <f>HYPERLINK("https://klasma.github.io/Logging_0861/tillsynsmail/A 25605-2024 tillsynsbegäran mail.docx", "A 25605-2024")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46190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46190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46190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46190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31170-2021</t>
        </is>
      </c>
      <c r="B51" s="1" t="n">
        <v>44368</v>
      </c>
      <c r="C51" s="1" t="n">
        <v>46190</v>
      </c>
      <c r="D51" t="inlineStr">
        <is>
          <t>KALMAR LÄN</t>
        </is>
      </c>
      <c r="E51" t="inlineStr">
        <is>
          <t>MÖNSTERÅS</t>
        </is>
      </c>
      <c r="G51" t="n">
        <v>20.1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31170-2021 artfynd.xlsx", "A 31170-2021")</f>
        <v/>
      </c>
      <c r="T51">
        <f>HYPERLINK("https://klasma.github.io/Logging_0861/kartor/A 31170-2021 karta.png", "A 31170-2021")</f>
        <v/>
      </c>
      <c r="U51">
        <f>HYPERLINK("https://klasma.github.io/Logging_0861/knärot/A 31170-2021 karta knärot.png", "A 31170-2021")</f>
        <v/>
      </c>
      <c r="V51">
        <f>HYPERLINK("https://klasma.github.io/Logging_0861/klagomål/A 31170-2021 FSC-klagomål.docx", "A 31170-2021")</f>
        <v/>
      </c>
      <c r="W51">
        <f>HYPERLINK("https://klasma.github.io/Logging_0861/klagomålsmail/A 31170-2021 FSC-klagomål mail.docx", "A 31170-2021")</f>
        <v/>
      </c>
      <c r="X51">
        <f>HYPERLINK("https://klasma.github.io/Logging_0861/tillsyn/A 31170-2021 tillsynsbegäran.docx", "A 31170-2021")</f>
        <v/>
      </c>
      <c r="Y51">
        <f>HYPERLINK("https://klasma.github.io/Logging_0861/tillsynsmail/A 31170-2021 tillsynsbegäran mail.docx", "A 31170-2021")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46190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25218-2023</t>
        </is>
      </c>
      <c r="B53" s="1" t="n">
        <v>45086</v>
      </c>
      <c r="C53" s="1" t="n">
        <v>46190</v>
      </c>
      <c r="D53" t="inlineStr">
        <is>
          <t>KALMAR LÄN</t>
        </is>
      </c>
      <c r="E53" t="inlineStr">
        <is>
          <t>MÖNSTERÅS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25218-2023 artfynd.xlsx", "A 25218-2023")</f>
        <v/>
      </c>
      <c r="T53">
        <f>HYPERLINK("https://klasma.github.io/Logging_0861/kartor/A 25218-2023 karta.png", "A 25218-2023")</f>
        <v/>
      </c>
      <c r="V53">
        <f>HYPERLINK("https://klasma.github.io/Logging_0861/klagomål/A 25218-2023 FSC-klagomål.docx", "A 25218-2023")</f>
        <v/>
      </c>
      <c r="W53">
        <f>HYPERLINK("https://klasma.github.io/Logging_0861/klagomålsmail/A 25218-2023 FSC-klagomål mail.docx", "A 25218-2023")</f>
        <v/>
      </c>
      <c r="X53">
        <f>HYPERLINK("https://klasma.github.io/Logging_0861/tillsyn/A 25218-2023 tillsynsbegäran.docx", "A 25218-2023")</f>
        <v/>
      </c>
      <c r="Y53">
        <f>HYPERLINK("https://klasma.github.io/Logging_0861/tillsynsmail/A 25218-2023 tillsynsbegäran mail.docx", "A 25218-2023")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46190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41198-2023</t>
        </is>
      </c>
      <c r="B55" s="1" t="n">
        <v>45174</v>
      </c>
      <c r="C55" s="1" t="n">
        <v>46190</v>
      </c>
      <c r="D55" t="inlineStr">
        <is>
          <t>KALMAR LÄN</t>
        </is>
      </c>
      <c r="E55" t="inlineStr">
        <is>
          <t>MÖNSTERÅS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HYPERLINK("https://klasma.github.io/Logging_0861/artfynd/A 41198-2023 artfynd.xlsx", "A 41198-2023")</f>
        <v/>
      </c>
      <c r="T55">
        <f>HYPERLINK("https://klasma.github.io/Logging_0861/kartor/A 41198-2023 karta.png", "A 41198-2023")</f>
        <v/>
      </c>
      <c r="V55">
        <f>HYPERLINK("https://klasma.github.io/Logging_0861/klagomål/A 41198-2023 FSC-klagomål.docx", "A 41198-2023")</f>
        <v/>
      </c>
      <c r="W55">
        <f>HYPERLINK("https://klasma.github.io/Logging_0861/klagomålsmail/A 41198-2023 FSC-klagomål mail.docx", "A 41198-2023")</f>
        <v/>
      </c>
      <c r="X55">
        <f>HYPERLINK("https://klasma.github.io/Logging_0861/tillsyn/A 41198-2023 tillsynsbegäran.docx", "A 41198-2023")</f>
        <v/>
      </c>
      <c r="Y55">
        <f>HYPERLINK("https://klasma.github.io/Logging_0861/tillsynsmail/A 41198-2023 tillsynsbegäran mail.docx", "A 41198-2023")</f>
        <v/>
      </c>
    </row>
    <row r="56" ht="15" customHeight="1">
      <c r="A56" t="inlineStr">
        <is>
          <t>A 10155-2026</t>
        </is>
      </c>
      <c r="B56" s="1" t="n">
        <v>46076.37449074074</v>
      </c>
      <c r="C56" s="1" t="n">
        <v>46190</v>
      </c>
      <c r="D56" t="inlineStr">
        <is>
          <t>KALMAR LÄN</t>
        </is>
      </c>
      <c r="E56" t="inlineStr">
        <is>
          <t>MÖNSTERÅS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HYPERLINK("https://klasma.github.io/Logging_0861/artfynd/A 10155-2026 artfynd.xlsx", "A 10155-2026")</f>
        <v/>
      </c>
      <c r="T56">
        <f>HYPERLINK("https://klasma.github.io/Logging_0861/kartor/A 10155-2026 karta.png", "A 10155-2026")</f>
        <v/>
      </c>
      <c r="V56">
        <f>HYPERLINK("https://klasma.github.io/Logging_0861/klagomål/A 10155-2026 FSC-klagomål.docx", "A 10155-2026")</f>
        <v/>
      </c>
      <c r="W56">
        <f>HYPERLINK("https://klasma.github.io/Logging_0861/klagomålsmail/A 10155-2026 FSC-klagomål mail.docx", "A 10155-2026")</f>
        <v/>
      </c>
      <c r="X56">
        <f>HYPERLINK("https://klasma.github.io/Logging_0861/tillsyn/A 10155-2026 tillsynsbegäran.docx", "A 10155-2026")</f>
        <v/>
      </c>
      <c r="Y56">
        <f>HYPERLINK("https://klasma.github.io/Logging_0861/tillsynsmail/A 10155-2026 tillsynsbegäran mail.docx", "A 10155-2026")</f>
        <v/>
      </c>
    </row>
    <row r="57" ht="15" customHeight="1">
      <c r="A57" t="inlineStr">
        <is>
          <t>A 26274-2023</t>
        </is>
      </c>
      <c r="B57" s="1" t="n">
        <v>45091</v>
      </c>
      <c r="C57" s="1" t="n">
        <v>46190</v>
      </c>
      <c r="D57" t="inlineStr">
        <is>
          <t>KALMAR LÄN</t>
        </is>
      </c>
      <c r="E57" t="inlineStr">
        <is>
          <t>MÖNSTERÅS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26274-2023 artfynd.xlsx", "A 26274-2023")</f>
        <v/>
      </c>
      <c r="T57">
        <f>HYPERLINK("https://klasma.github.io/Logging_0861/kartor/A 26274-2023 karta.png", "A 26274-2023")</f>
        <v/>
      </c>
      <c r="V57">
        <f>HYPERLINK("https://klasma.github.io/Logging_0861/klagomål/A 26274-2023 FSC-klagomål.docx", "A 26274-2023")</f>
        <v/>
      </c>
      <c r="W57">
        <f>HYPERLINK("https://klasma.github.io/Logging_0861/klagomålsmail/A 26274-2023 FSC-klagomål mail.docx", "A 26274-2023")</f>
        <v/>
      </c>
      <c r="X57">
        <f>HYPERLINK("https://klasma.github.io/Logging_0861/tillsyn/A 26274-2023 tillsynsbegäran.docx", "A 26274-2023")</f>
        <v/>
      </c>
      <c r="Y57">
        <f>HYPERLINK("https://klasma.github.io/Logging_0861/tillsynsmail/A 26274-2023 tillsynsbegäran mail.docx", "A 26274-2023")</f>
        <v/>
      </c>
      <c r="Z57">
        <f>HYPERLINK("https://klasma.github.io/Logging_0861/fåglar/A 26274-2023 prioriterade fågelarter.docx", "A 26274-2023")</f>
        <v/>
      </c>
    </row>
    <row r="58" ht="15" customHeight="1">
      <c r="A58" t="inlineStr">
        <is>
          <t>A 22633-2026</t>
        </is>
      </c>
      <c r="B58" s="1" t="n">
        <v>46155.64229166666</v>
      </c>
      <c r="C58" s="1" t="n">
        <v>46190</v>
      </c>
      <c r="D58" t="inlineStr">
        <is>
          <t>KALMAR LÄN</t>
        </is>
      </c>
      <c r="E58" t="inlineStr">
        <is>
          <t>MÖNSTERÅS</t>
        </is>
      </c>
      <c r="F58" t="inlineStr">
        <is>
          <t>Kommuner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HYPERLINK("https://klasma.github.io/Logging_0861/artfynd/A 22633-2026 artfynd.xlsx", "A 22633-2026")</f>
        <v/>
      </c>
      <c r="T58">
        <f>HYPERLINK("https://klasma.github.io/Logging_0861/kartor/A 22633-2026 karta.png", "A 22633-2026")</f>
        <v/>
      </c>
      <c r="V58">
        <f>HYPERLINK("https://klasma.github.io/Logging_0861/klagomål/A 22633-2026 FSC-klagomål.docx", "A 22633-2026")</f>
        <v/>
      </c>
      <c r="W58">
        <f>HYPERLINK("https://klasma.github.io/Logging_0861/klagomålsmail/A 22633-2026 FSC-klagomål mail.docx", "A 22633-2026")</f>
        <v/>
      </c>
      <c r="X58">
        <f>HYPERLINK("https://klasma.github.io/Logging_0861/tillsyn/A 22633-2026 tillsynsbegäran.docx", "A 22633-2026")</f>
        <v/>
      </c>
      <c r="Y58">
        <f>HYPERLINK("https://klasma.github.io/Logging_0861/tillsynsmail/A 22633-2026 tillsynsbegäran mail.docx", "A 22633-2026")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46190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64550-2021</t>
        </is>
      </c>
      <c r="B60" s="1" t="n">
        <v>44511.63819444444</v>
      </c>
      <c r="C60" s="1" t="n">
        <v>46190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46190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42139-2021</t>
        </is>
      </c>
      <c r="B62" s="1" t="n">
        <v>44426</v>
      </c>
      <c r="C62" s="1" t="n">
        <v>46190</v>
      </c>
      <c r="D62" t="inlineStr">
        <is>
          <t>KALMAR LÄN</t>
        </is>
      </c>
      <c r="E62" t="inlineStr">
        <is>
          <t>MÖNSTERÅS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35715-2022</t>
        </is>
      </c>
      <c r="B63" s="1" t="n">
        <v>44799</v>
      </c>
      <c r="C63" s="1" t="n">
        <v>46190</v>
      </c>
      <c r="D63" t="inlineStr">
        <is>
          <t>KALMAR LÄN</t>
        </is>
      </c>
      <c r="E63" t="inlineStr">
        <is>
          <t>MÖNSTERÅS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29347-2022</t>
        </is>
      </c>
      <c r="B64" s="1" t="n">
        <v>44753.34430555555</v>
      </c>
      <c r="C64" s="1" t="n">
        <v>46190</v>
      </c>
      <c r="D64" t="inlineStr">
        <is>
          <t>KALMAR LÄN</t>
        </is>
      </c>
      <c r="E64" t="inlineStr">
        <is>
          <t>MÖNSTERÅS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70650-2021</t>
        </is>
      </c>
      <c r="B65" s="1" t="n">
        <v>44537</v>
      </c>
      <c r="C65" s="1" t="n">
        <v>46190</v>
      </c>
      <c r="D65" t="inlineStr">
        <is>
          <t>KALMAR LÄN</t>
        </is>
      </c>
      <c r="E65" t="inlineStr">
        <is>
          <t>MÖNSTERÅS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7173-2022</t>
        </is>
      </c>
      <c r="B66" s="1" t="n">
        <v>44604.7769212963</v>
      </c>
      <c r="C66" s="1" t="n">
        <v>46190</v>
      </c>
      <c r="D66" t="inlineStr">
        <is>
          <t>KALMAR LÄN</t>
        </is>
      </c>
      <c r="E66" t="inlineStr">
        <is>
          <t>MÖNSTERÅS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58244-2021</t>
        </is>
      </c>
      <c r="B67" s="1" t="n">
        <v>44487</v>
      </c>
      <c r="C67" s="1" t="n">
        <v>46190</v>
      </c>
      <c r="D67" t="inlineStr">
        <is>
          <t>KALMAR LÄN</t>
        </is>
      </c>
      <c r="E67" t="inlineStr">
        <is>
          <t>MÖNSTERÅS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40817-2022</t>
        </is>
      </c>
      <c r="B68" s="1" t="n">
        <v>44824.69974537037</v>
      </c>
      <c r="C68" s="1" t="n">
        <v>46190</v>
      </c>
      <c r="D68" t="inlineStr">
        <is>
          <t>KALMAR LÄN</t>
        </is>
      </c>
      <c r="E68" t="inlineStr">
        <is>
          <t>MÖNSTERÅS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45417-2021</t>
        </is>
      </c>
      <c r="B69" s="1" t="n">
        <v>44440</v>
      </c>
      <c r="C69" s="1" t="n">
        <v>46190</v>
      </c>
      <c r="D69" t="inlineStr">
        <is>
          <t>KALMAR LÄN</t>
        </is>
      </c>
      <c r="E69" t="inlineStr">
        <is>
          <t>MÖNSTERÅS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14165-2022</t>
        </is>
      </c>
      <c r="B70" s="1" t="n">
        <v>44651</v>
      </c>
      <c r="C70" s="1" t="n">
        <v>46190</v>
      </c>
      <c r="D70" t="inlineStr">
        <is>
          <t>KALMAR LÄN</t>
        </is>
      </c>
      <c r="E70" t="inlineStr">
        <is>
          <t>MÖNSTERÅS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18825-2022</t>
        </is>
      </c>
      <c r="B71" s="1" t="n">
        <v>44690</v>
      </c>
      <c r="C71" s="1" t="n">
        <v>46190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30887-2021</t>
        </is>
      </c>
      <c r="B72" s="1" t="n">
        <v>44365</v>
      </c>
      <c r="C72" s="1" t="n">
        <v>46190</v>
      </c>
      <c r="D72" t="inlineStr">
        <is>
          <t>KALMAR LÄN</t>
        </is>
      </c>
      <c r="E72" t="inlineStr">
        <is>
          <t>MÖNSTERÅS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20250-2022</t>
        </is>
      </c>
      <c r="B73" s="1" t="n">
        <v>44698</v>
      </c>
      <c r="C73" s="1" t="n">
        <v>46190</v>
      </c>
      <c r="D73" t="inlineStr">
        <is>
          <t>KALMAR LÄN</t>
        </is>
      </c>
      <c r="E73" t="inlineStr">
        <is>
          <t>MÖNSTERÅS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51358-2021</t>
        </is>
      </c>
      <c r="B74" s="1" t="n">
        <v>44461</v>
      </c>
      <c r="C74" s="1" t="n">
        <v>46190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50069-2022</t>
        </is>
      </c>
      <c r="B75" s="1" t="n">
        <v>44865.48043981481</v>
      </c>
      <c r="C75" s="1" t="n">
        <v>46190</v>
      </c>
      <c r="D75" t="inlineStr">
        <is>
          <t>KALMAR LÄN</t>
        </is>
      </c>
      <c r="E75" t="inlineStr">
        <is>
          <t>MÖNSTERÅS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49498-2021</t>
        </is>
      </c>
      <c r="B76" s="1" t="n">
        <v>44455</v>
      </c>
      <c r="C76" s="1" t="n">
        <v>46190</v>
      </c>
      <c r="D76" t="inlineStr">
        <is>
          <t>KALMAR LÄN</t>
        </is>
      </c>
      <c r="E76" t="inlineStr">
        <is>
          <t>MÖNSTERÅS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11702-2022</t>
        </is>
      </c>
      <c r="B77" s="1" t="n">
        <v>44634</v>
      </c>
      <c r="C77" s="1" t="n">
        <v>46190</v>
      </c>
      <c r="D77" t="inlineStr">
        <is>
          <t>KALMAR LÄN</t>
        </is>
      </c>
      <c r="E77" t="inlineStr">
        <is>
          <t>MÖNSTERÅS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40405-2021</t>
        </is>
      </c>
      <c r="B78" s="1" t="n">
        <v>44419</v>
      </c>
      <c r="C78" s="1" t="n">
        <v>46190</v>
      </c>
      <c r="D78" t="inlineStr">
        <is>
          <t>KALMAR LÄN</t>
        </is>
      </c>
      <c r="E78" t="inlineStr">
        <is>
          <t>MÖNSTERÅS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50016-2022</t>
        </is>
      </c>
      <c r="B79" s="1" t="n">
        <v>44865.44211805556</v>
      </c>
      <c r="C79" s="1" t="n">
        <v>46190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50489-2021</t>
        </is>
      </c>
      <c r="B80" s="1" t="n">
        <v>44459.56368055556</v>
      </c>
      <c r="C80" s="1" t="n">
        <v>46190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73186-2021</t>
        </is>
      </c>
      <c r="B81" s="1" t="n">
        <v>44546</v>
      </c>
      <c r="C81" s="1" t="n">
        <v>46190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58772-2021</t>
        </is>
      </c>
      <c r="B82" s="1" t="n">
        <v>44489</v>
      </c>
      <c r="C82" s="1" t="n">
        <v>46190</v>
      </c>
      <c r="D82" t="inlineStr">
        <is>
          <t>KALMAR LÄN</t>
        </is>
      </c>
      <c r="E82" t="inlineStr">
        <is>
          <t>MÖNSTERÅS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7238-2022</t>
        </is>
      </c>
      <c r="B83" s="1" t="n">
        <v>44606</v>
      </c>
      <c r="C83" s="1" t="n">
        <v>46190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70594-2021</t>
        </is>
      </c>
      <c r="B84" s="1" t="n">
        <v>44537</v>
      </c>
      <c r="C84" s="1" t="n">
        <v>46190</v>
      </c>
      <c r="D84" t="inlineStr">
        <is>
          <t>KALMAR LÄN</t>
        </is>
      </c>
      <c r="E84" t="inlineStr">
        <is>
          <t>MÖNSTERÅS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13743-2022</t>
        </is>
      </c>
      <c r="B85" s="1" t="n">
        <v>44649</v>
      </c>
      <c r="C85" s="1" t="n">
        <v>46190</v>
      </c>
      <c r="D85" t="inlineStr">
        <is>
          <t>KALMAR LÄN</t>
        </is>
      </c>
      <c r="E85" t="inlineStr">
        <is>
          <t>MÖNSTERÅS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66046-2021</t>
        </is>
      </c>
      <c r="B86" s="1" t="n">
        <v>44517</v>
      </c>
      <c r="C86" s="1" t="n">
        <v>46190</v>
      </c>
      <c r="D86" t="inlineStr">
        <is>
          <t>KALMAR LÄN</t>
        </is>
      </c>
      <c r="E86" t="inlineStr">
        <is>
          <t>MÖNSTERÅS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24743-2022</t>
        </is>
      </c>
      <c r="B87" s="1" t="n">
        <v>44727</v>
      </c>
      <c r="C87" s="1" t="n">
        <v>46190</v>
      </c>
      <c r="D87" t="inlineStr">
        <is>
          <t>KALMAR LÄN</t>
        </is>
      </c>
      <c r="E87" t="inlineStr">
        <is>
          <t>MÖNSTERÅS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54488-2022</t>
        </is>
      </c>
      <c r="B88" s="1" t="n">
        <v>44882.67111111111</v>
      </c>
      <c r="C88" s="1" t="n">
        <v>46190</v>
      </c>
      <c r="D88" t="inlineStr">
        <is>
          <t>KALMAR LÄN</t>
        </is>
      </c>
      <c r="E88" t="inlineStr">
        <is>
          <t>MÖNSTERÅS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42125-2021</t>
        </is>
      </c>
      <c r="B89" s="1" t="n">
        <v>44426</v>
      </c>
      <c r="C89" s="1" t="n">
        <v>46190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66212-2021</t>
        </is>
      </c>
      <c r="B90" s="1" t="n">
        <v>44518</v>
      </c>
      <c r="C90" s="1" t="n">
        <v>46190</v>
      </c>
      <c r="D90" t="inlineStr">
        <is>
          <t>KALMAR LÄN</t>
        </is>
      </c>
      <c r="E90" t="inlineStr">
        <is>
          <t>MÖNSTERÅS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34721-2021</t>
        </is>
      </c>
      <c r="B91" s="1" t="n">
        <v>44382</v>
      </c>
      <c r="C91" s="1" t="n">
        <v>46190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66796-2021</t>
        </is>
      </c>
      <c r="B92" s="1" t="n">
        <v>44519</v>
      </c>
      <c r="C92" s="1" t="n">
        <v>46190</v>
      </c>
      <c r="D92" t="inlineStr">
        <is>
          <t>KALMAR LÄN</t>
        </is>
      </c>
      <c r="E92" t="inlineStr">
        <is>
          <t>MÖNSTERÅS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55419-2021</t>
        </is>
      </c>
      <c r="B93" s="1" t="n">
        <v>44475</v>
      </c>
      <c r="C93" s="1" t="n">
        <v>46190</v>
      </c>
      <c r="D93" t="inlineStr">
        <is>
          <t>KALMAR LÄN</t>
        </is>
      </c>
      <c r="E93" t="inlineStr">
        <is>
          <t>MÖNSTERÅS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1448-2022</t>
        </is>
      </c>
      <c r="B94" s="1" t="n">
        <v>44573</v>
      </c>
      <c r="C94" s="1" t="n">
        <v>46190</v>
      </c>
      <c r="D94" t="inlineStr">
        <is>
          <t>KALMAR LÄN</t>
        </is>
      </c>
      <c r="E94" t="inlineStr">
        <is>
          <t>MÖNSTERÅS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41689-2022</t>
        </is>
      </c>
      <c r="B95" s="1" t="n">
        <v>44827</v>
      </c>
      <c r="C95" s="1" t="n">
        <v>46190</v>
      </c>
      <c r="D95" t="inlineStr">
        <is>
          <t>KALMAR LÄN</t>
        </is>
      </c>
      <c r="E95" t="inlineStr">
        <is>
          <t>MÖNSTERÅS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64525-2021</t>
        </is>
      </c>
      <c r="B96" s="1" t="n">
        <v>44511.6225462963</v>
      </c>
      <c r="C96" s="1" t="n">
        <v>46190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13047-2022</t>
        </is>
      </c>
      <c r="B97" s="1" t="n">
        <v>44643</v>
      </c>
      <c r="C97" s="1" t="n">
        <v>46190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27610-2023</t>
        </is>
      </c>
      <c r="B98" s="1" t="n">
        <v>45097</v>
      </c>
      <c r="C98" s="1" t="n">
        <v>46190</v>
      </c>
      <c r="D98" t="inlineStr">
        <is>
          <t>KALMAR LÄN</t>
        </is>
      </c>
      <c r="E98" t="inlineStr">
        <is>
          <t>MÖNSTERÅS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40242-2022</t>
        </is>
      </c>
      <c r="B99" s="1" t="n">
        <v>44820</v>
      </c>
      <c r="C99" s="1" t="n">
        <v>46190</v>
      </c>
      <c r="D99" t="inlineStr">
        <is>
          <t>KALMAR LÄN</t>
        </is>
      </c>
      <c r="E99" t="inlineStr">
        <is>
          <t>MÖNSTERÅS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52646-2022</t>
        </is>
      </c>
      <c r="B100" s="1" t="n">
        <v>44874.78201388889</v>
      </c>
      <c r="C100" s="1" t="n">
        <v>46190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50054-2022</t>
        </is>
      </c>
      <c r="B101" s="1" t="n">
        <v>44865.47458333334</v>
      </c>
      <c r="C101" s="1" t="n">
        <v>46190</v>
      </c>
      <c r="D101" t="inlineStr">
        <is>
          <t>KALMAR LÄN</t>
        </is>
      </c>
      <c r="E101" t="inlineStr">
        <is>
          <t>MÖNSTERÅS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55576-2023</t>
        </is>
      </c>
      <c r="B102" s="1" t="n">
        <v>45238</v>
      </c>
      <c r="C102" s="1" t="n">
        <v>46190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10108-2022</t>
        </is>
      </c>
      <c r="B103" s="1" t="n">
        <v>44621</v>
      </c>
      <c r="C103" s="1" t="n">
        <v>46190</v>
      </c>
      <c r="D103" t="inlineStr">
        <is>
          <t>KALMAR LÄN</t>
        </is>
      </c>
      <c r="E103" t="inlineStr">
        <is>
          <t>MÖNSTERÅS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52642-2022</t>
        </is>
      </c>
      <c r="B104" s="1" t="n">
        <v>44874.77633101852</v>
      </c>
      <c r="C104" s="1" t="n">
        <v>46190</v>
      </c>
      <c r="D104" t="inlineStr">
        <is>
          <t>KALMAR LÄN</t>
        </is>
      </c>
      <c r="E104" t="inlineStr">
        <is>
          <t>MÖNSTERÅS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34079-2022</t>
        </is>
      </c>
      <c r="B105" s="1" t="n">
        <v>44791</v>
      </c>
      <c r="C105" s="1" t="n">
        <v>46190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19947-2023</t>
        </is>
      </c>
      <c r="B106" s="1" t="n">
        <v>45054.52478009259</v>
      </c>
      <c r="C106" s="1" t="n">
        <v>46190</v>
      </c>
      <c r="D106" t="inlineStr">
        <is>
          <t>KALMAR LÄN</t>
        </is>
      </c>
      <c r="E106" t="inlineStr">
        <is>
          <t>MÖNSTERÅS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32034-2021</t>
        </is>
      </c>
      <c r="B107" s="1" t="n">
        <v>44370</v>
      </c>
      <c r="C107" s="1" t="n">
        <v>46190</v>
      </c>
      <c r="D107" t="inlineStr">
        <is>
          <t>KALMAR LÄN</t>
        </is>
      </c>
      <c r="E107" t="inlineStr">
        <is>
          <t>MÖNSTERÅS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13224-2022</t>
        </is>
      </c>
      <c r="B108" s="1" t="n">
        <v>44644</v>
      </c>
      <c r="C108" s="1" t="n">
        <v>46190</v>
      </c>
      <c r="D108" t="inlineStr">
        <is>
          <t>KALMAR LÄN</t>
        </is>
      </c>
      <c r="E108" t="inlineStr">
        <is>
          <t>MÖNSTERÅS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39262-2022</t>
        </is>
      </c>
      <c r="B109" s="1" t="n">
        <v>44817</v>
      </c>
      <c r="C109" s="1" t="n">
        <v>46190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44322-2023</t>
        </is>
      </c>
      <c r="B110" s="1" t="n">
        <v>45188</v>
      </c>
      <c r="C110" s="1" t="n">
        <v>46190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12461-2022</t>
        </is>
      </c>
      <c r="B111" s="1" t="n">
        <v>44638</v>
      </c>
      <c r="C111" s="1" t="n">
        <v>46190</v>
      </c>
      <c r="D111" t="inlineStr">
        <is>
          <t>KALMAR LÄN</t>
        </is>
      </c>
      <c r="E111" t="inlineStr">
        <is>
          <t>MÖNSTERÅS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36250-2021</t>
        </is>
      </c>
      <c r="B112" s="1" t="n">
        <v>44389</v>
      </c>
      <c r="C112" s="1" t="n">
        <v>46190</v>
      </c>
      <c r="D112" t="inlineStr">
        <is>
          <t>KALMAR LÄN</t>
        </is>
      </c>
      <c r="E112" t="inlineStr">
        <is>
          <t>MÖNSTERÅS</t>
        </is>
      </c>
      <c r="F112" t="inlineStr">
        <is>
          <t>Kyrkan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4974-2022</t>
        </is>
      </c>
      <c r="B113" s="1" t="n">
        <v>44593</v>
      </c>
      <c r="C113" s="1" t="n">
        <v>46190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63454-2023</t>
        </is>
      </c>
      <c r="B114" s="1" t="n">
        <v>45274.61356481481</v>
      </c>
      <c r="C114" s="1" t="n">
        <v>46190</v>
      </c>
      <c r="D114" t="inlineStr">
        <is>
          <t>KALMAR LÄN</t>
        </is>
      </c>
      <c r="E114" t="inlineStr">
        <is>
          <t>MÖNSTERÅS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38858-2021</t>
        </is>
      </c>
      <c r="B115" s="1" t="n">
        <v>44411</v>
      </c>
      <c r="C115" s="1" t="n">
        <v>46190</v>
      </c>
      <c r="D115" t="inlineStr">
        <is>
          <t>KALMAR LÄN</t>
        </is>
      </c>
      <c r="E115" t="inlineStr">
        <is>
          <t>MÖNSTERÅS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9545-2024</t>
        </is>
      </c>
      <c r="B116" s="1" t="n">
        <v>45359</v>
      </c>
      <c r="C116" s="1" t="n">
        <v>46190</v>
      </c>
      <c r="D116" t="inlineStr">
        <is>
          <t>KALMAR LÄN</t>
        </is>
      </c>
      <c r="E116" t="inlineStr">
        <is>
          <t>MÖNSTERÅS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15598-2025</t>
        </is>
      </c>
      <c r="B117" s="1" t="n">
        <v>45747.92075231481</v>
      </c>
      <c r="C117" s="1" t="n">
        <v>46190</v>
      </c>
      <c r="D117" t="inlineStr">
        <is>
          <t>KALMAR LÄN</t>
        </is>
      </c>
      <c r="E117" t="inlineStr">
        <is>
          <t>MÖNSTERÅS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4780-2024</t>
        </is>
      </c>
      <c r="B118" s="1" t="n">
        <v>45328</v>
      </c>
      <c r="C118" s="1" t="n">
        <v>46190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58894-2023</t>
        </is>
      </c>
      <c r="B119" s="1" t="n">
        <v>45250</v>
      </c>
      <c r="C119" s="1" t="n">
        <v>46190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61198-2022</t>
        </is>
      </c>
      <c r="B120" s="1" t="n">
        <v>44915</v>
      </c>
      <c r="C120" s="1" t="n">
        <v>46190</v>
      </c>
      <c r="D120" t="inlineStr">
        <is>
          <t>KALMAR LÄN</t>
        </is>
      </c>
      <c r="E120" t="inlineStr">
        <is>
          <t>MÖNSTERÅS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70644-2021</t>
        </is>
      </c>
      <c r="B121" s="1" t="n">
        <v>44537.49385416666</v>
      </c>
      <c r="C121" s="1" t="n">
        <v>46190</v>
      </c>
      <c r="D121" t="inlineStr">
        <is>
          <t>KALMAR LÄN</t>
        </is>
      </c>
      <c r="E121" t="inlineStr">
        <is>
          <t>MÖNSTERÅS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31384-2023</t>
        </is>
      </c>
      <c r="B122" s="1" t="n">
        <v>45114</v>
      </c>
      <c r="C122" s="1" t="n">
        <v>46190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20201-2024</t>
        </is>
      </c>
      <c r="B123" s="1" t="n">
        <v>45434.65105324074</v>
      </c>
      <c r="C123" s="1" t="n">
        <v>46190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HYPERLINK("https://klasma.github.io/Logging_0861/knärot/A 20201-2024 karta knärot.png", "A 20201-2024")</f>
        <v/>
      </c>
      <c r="V123">
        <f>HYPERLINK("https://klasma.github.io/Logging_0861/klagomål/A 20201-2024 FSC-klagomål.docx", "A 20201-2024")</f>
        <v/>
      </c>
      <c r="W123">
        <f>HYPERLINK("https://klasma.github.io/Logging_0861/klagomålsmail/A 20201-2024 FSC-klagomål mail.docx", "A 20201-2024")</f>
        <v/>
      </c>
      <c r="X123">
        <f>HYPERLINK("https://klasma.github.io/Logging_0861/tillsyn/A 20201-2024 tillsynsbegäran.docx", "A 20201-2024")</f>
        <v/>
      </c>
      <c r="Y123">
        <f>HYPERLINK("https://klasma.github.io/Logging_0861/tillsynsmail/A 20201-2024 tillsynsbegäran mail.docx", "A 20201-2024")</f>
        <v/>
      </c>
    </row>
    <row r="124" ht="15" customHeight="1">
      <c r="A124" t="inlineStr">
        <is>
          <t>A 61874-2022</t>
        </is>
      </c>
      <c r="B124" s="1" t="n">
        <v>44917</v>
      </c>
      <c r="C124" s="1" t="n">
        <v>46190</v>
      </c>
      <c r="D124" t="inlineStr">
        <is>
          <t>KALMAR LÄN</t>
        </is>
      </c>
      <c r="E124" t="inlineStr">
        <is>
          <t>MÖNSTERÅS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12896-2022</t>
        </is>
      </c>
      <c r="B125" s="1" t="n">
        <v>44642</v>
      </c>
      <c r="C125" s="1" t="n">
        <v>46190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20498-2023</t>
        </is>
      </c>
      <c r="B126" s="1" t="n">
        <v>45057</v>
      </c>
      <c r="C126" s="1" t="n">
        <v>46190</v>
      </c>
      <c r="D126" t="inlineStr">
        <is>
          <t>KALMAR LÄN</t>
        </is>
      </c>
      <c r="E126" t="inlineStr">
        <is>
          <t>MÖNSTERÅS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20645-2025</t>
        </is>
      </c>
      <c r="B127" s="1" t="n">
        <v>45776</v>
      </c>
      <c r="C127" s="1" t="n">
        <v>46190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26279-2023</t>
        </is>
      </c>
      <c r="B128" s="1" t="n">
        <v>45091</v>
      </c>
      <c r="C128" s="1" t="n">
        <v>46190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46190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9367-2025</t>
        </is>
      </c>
      <c r="B130" s="1" t="n">
        <v>45715.32221064815</v>
      </c>
      <c r="C130" s="1" t="n">
        <v>46190</v>
      </c>
      <c r="D130" t="inlineStr">
        <is>
          <t>KALMAR LÄN</t>
        </is>
      </c>
      <c r="E130" t="inlineStr">
        <is>
          <t>MÖNSTERÅS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1653-2025</t>
        </is>
      </c>
      <c r="B131" s="1" t="n">
        <v>45670.65835648148</v>
      </c>
      <c r="C131" s="1" t="n">
        <v>46190</v>
      </c>
      <c r="D131" t="inlineStr">
        <is>
          <t>KALMAR LÄN</t>
        </is>
      </c>
      <c r="E131" t="inlineStr">
        <is>
          <t>MÖNSTERÅS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50071-2022</t>
        </is>
      </c>
      <c r="B132" s="1" t="n">
        <v>44865.48206018518</v>
      </c>
      <c r="C132" s="1" t="n">
        <v>46190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26061-2023</t>
        </is>
      </c>
      <c r="B133" s="1" t="n">
        <v>45091</v>
      </c>
      <c r="C133" s="1" t="n">
        <v>46190</v>
      </c>
      <c r="D133" t="inlineStr">
        <is>
          <t>KALMAR LÄN</t>
        </is>
      </c>
      <c r="E133" t="inlineStr">
        <is>
          <t>MÖNSTERÅS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41581-2024</t>
        </is>
      </c>
      <c r="B134" s="1" t="n">
        <v>45560.55587962963</v>
      </c>
      <c r="C134" s="1" t="n">
        <v>46190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46190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46190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49809-2021</t>
        </is>
      </c>
      <c r="B137" s="1" t="n">
        <v>44455</v>
      </c>
      <c r="C137" s="1" t="n">
        <v>46190</v>
      </c>
      <c r="D137" t="inlineStr">
        <is>
          <t>KALMAR LÄN</t>
        </is>
      </c>
      <c r="E137" t="inlineStr">
        <is>
          <t>MÖNSTERÅS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53502-2022</t>
        </is>
      </c>
      <c r="B138" s="1" t="n">
        <v>44879</v>
      </c>
      <c r="C138" s="1" t="n">
        <v>46190</v>
      </c>
      <c r="D138" t="inlineStr">
        <is>
          <t>KALMAR LÄN</t>
        </is>
      </c>
      <c r="E138" t="inlineStr">
        <is>
          <t>MÖNSTERÅS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33658-2023</t>
        </is>
      </c>
      <c r="B139" s="1" t="n">
        <v>45132</v>
      </c>
      <c r="C139" s="1" t="n">
        <v>46190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49498-2021</t>
        </is>
      </c>
      <c r="B140" s="1" t="n">
        <v>44455</v>
      </c>
      <c r="C140" s="1" t="n">
        <v>46190</v>
      </c>
      <c r="D140" t="inlineStr">
        <is>
          <t>KALMAR LÄN</t>
        </is>
      </c>
      <c r="E140" t="inlineStr">
        <is>
          <t>MÖNSTERÅS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61749-2024</t>
        </is>
      </c>
      <c r="B141" s="1" t="n">
        <v>45649.39033564815</v>
      </c>
      <c r="C141" s="1" t="n">
        <v>46190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36607-2024</t>
        </is>
      </c>
      <c r="B142" s="1" t="n">
        <v>45537.57107638889</v>
      </c>
      <c r="C142" s="1" t="n">
        <v>46190</v>
      </c>
      <c r="D142" t="inlineStr">
        <is>
          <t>KALMAR LÄN</t>
        </is>
      </c>
      <c r="E142" t="inlineStr">
        <is>
          <t>MÖNSTERÅS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9974-2022</t>
        </is>
      </c>
      <c r="B143" s="1" t="n">
        <v>44621.39148148148</v>
      </c>
      <c r="C143" s="1" t="n">
        <v>46190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31757-2023</t>
        </is>
      </c>
      <c r="B144" s="1" t="n">
        <v>45106</v>
      </c>
      <c r="C144" s="1" t="n">
        <v>46190</v>
      </c>
      <c r="D144" t="inlineStr">
        <is>
          <t>KALMAR LÄN</t>
        </is>
      </c>
      <c r="E144" t="inlineStr">
        <is>
          <t>MÖNSTERÅS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9215-2025</t>
        </is>
      </c>
      <c r="B145" s="1" t="n">
        <v>45714.51229166667</v>
      </c>
      <c r="C145" s="1" t="n">
        <v>46190</v>
      </c>
      <c r="D145" t="inlineStr">
        <is>
          <t>KALMAR LÄN</t>
        </is>
      </c>
      <c r="E145" t="inlineStr">
        <is>
          <t>MÖNSTERÅS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16324-2023</t>
        </is>
      </c>
      <c r="B146" s="1" t="n">
        <v>45028</v>
      </c>
      <c r="C146" s="1" t="n">
        <v>46190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61751-2024</t>
        </is>
      </c>
      <c r="B147" s="1" t="n">
        <v>45649.39400462963</v>
      </c>
      <c r="C147" s="1" t="n">
        <v>46190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35805-2022</t>
        </is>
      </c>
      <c r="B148" s="1" t="n">
        <v>44802.30116898148</v>
      </c>
      <c r="C148" s="1" t="n">
        <v>46190</v>
      </c>
      <c r="D148" t="inlineStr">
        <is>
          <t>KALMAR LÄN</t>
        </is>
      </c>
      <c r="E148" t="inlineStr">
        <is>
          <t>MÖNSTERÅS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23009-2025</t>
        </is>
      </c>
      <c r="B149" s="1" t="n">
        <v>45790.61526620371</v>
      </c>
      <c r="C149" s="1" t="n">
        <v>46190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59540-2024</t>
        </is>
      </c>
      <c r="B150" s="1" t="n">
        <v>45638.61381944444</v>
      </c>
      <c r="C150" s="1" t="n">
        <v>46190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46190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32171-2021</t>
        </is>
      </c>
      <c r="B152" s="1" t="n">
        <v>44371</v>
      </c>
      <c r="C152" s="1" t="n">
        <v>46190</v>
      </c>
      <c r="D152" t="inlineStr">
        <is>
          <t>KALMAR LÄN</t>
        </is>
      </c>
      <c r="E152" t="inlineStr">
        <is>
          <t>MÖNSTERÅS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8222-2025</t>
        </is>
      </c>
      <c r="B153" s="1" t="n">
        <v>45708.46113425926</v>
      </c>
      <c r="C153" s="1" t="n">
        <v>46190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23566-2025</t>
        </is>
      </c>
      <c r="B154" s="1" t="n">
        <v>45792.59854166667</v>
      </c>
      <c r="C154" s="1" t="n">
        <v>46190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39860-2024</t>
        </is>
      </c>
      <c r="B155" s="1" t="n">
        <v>45553.44331018518</v>
      </c>
      <c r="C155" s="1" t="n">
        <v>46190</v>
      </c>
      <c r="D155" t="inlineStr">
        <is>
          <t>KALMAR LÄN</t>
        </is>
      </c>
      <c r="E155" t="inlineStr">
        <is>
          <t>MÖNSTERÅS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23454-2025</t>
        </is>
      </c>
      <c r="B156" s="1" t="n">
        <v>45792.42443287037</v>
      </c>
      <c r="C156" s="1" t="n">
        <v>46190</v>
      </c>
      <c r="D156" t="inlineStr">
        <is>
          <t>KALMAR LÄN</t>
        </is>
      </c>
      <c r="E156" t="inlineStr">
        <is>
          <t>MÖNSTERÅS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37233-2024</t>
        </is>
      </c>
      <c r="B157" s="1" t="n">
        <v>45540.31068287037</v>
      </c>
      <c r="C157" s="1" t="n">
        <v>46190</v>
      </c>
      <c r="D157" t="inlineStr">
        <is>
          <t>KALMAR LÄN</t>
        </is>
      </c>
      <c r="E157" t="inlineStr">
        <is>
          <t>MÖNSTERÅS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37237-2024</t>
        </is>
      </c>
      <c r="B158" s="1" t="n">
        <v>45540.33099537037</v>
      </c>
      <c r="C158" s="1" t="n">
        <v>46190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7637-2023</t>
        </is>
      </c>
      <c r="B159" s="1" t="n">
        <v>44972.57466435185</v>
      </c>
      <c r="C159" s="1" t="n">
        <v>46190</v>
      </c>
      <c r="D159" t="inlineStr">
        <is>
          <t>KALMAR LÄN</t>
        </is>
      </c>
      <c r="E159" t="inlineStr">
        <is>
          <t>MÖNSTERÅS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37180-2024</t>
        </is>
      </c>
      <c r="B160" s="1" t="n">
        <v>45539.64475694444</v>
      </c>
      <c r="C160" s="1" t="n">
        <v>46190</v>
      </c>
      <c r="D160" t="inlineStr">
        <is>
          <t>KALMAR LÄN</t>
        </is>
      </c>
      <c r="E160" t="inlineStr">
        <is>
          <t>MÖNSTERÅS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37239-2024</t>
        </is>
      </c>
      <c r="B161" s="1" t="n">
        <v>45540.34068287037</v>
      </c>
      <c r="C161" s="1" t="n">
        <v>46190</v>
      </c>
      <c r="D161" t="inlineStr">
        <is>
          <t>KALMAR LÄN</t>
        </is>
      </c>
      <c r="E161" t="inlineStr">
        <is>
          <t>MÖNSTERÅS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37245-2024</t>
        </is>
      </c>
      <c r="B162" s="1" t="n">
        <v>45540.34633101852</v>
      </c>
      <c r="C162" s="1" t="n">
        <v>46190</v>
      </c>
      <c r="D162" t="inlineStr">
        <is>
          <t>KALMAR LÄN</t>
        </is>
      </c>
      <c r="E162" t="inlineStr">
        <is>
          <t>MÖNSTERÅS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5639-2022</t>
        </is>
      </c>
      <c r="B163" s="1" t="n">
        <v>44595</v>
      </c>
      <c r="C163" s="1" t="n">
        <v>46190</v>
      </c>
      <c r="D163" t="inlineStr">
        <is>
          <t>KALMAR LÄN</t>
        </is>
      </c>
      <c r="E163" t="inlineStr">
        <is>
          <t>MÖNSTERÅS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10934-2023</t>
        </is>
      </c>
      <c r="B164" s="1" t="n">
        <v>44991.52763888889</v>
      </c>
      <c r="C164" s="1" t="n">
        <v>46190</v>
      </c>
      <c r="D164" t="inlineStr">
        <is>
          <t>KALMAR LÄN</t>
        </is>
      </c>
      <c r="E164" t="inlineStr">
        <is>
          <t>MÖNSTERÅS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64106-2023</t>
        </is>
      </c>
      <c r="B165" s="1" t="n">
        <v>45279</v>
      </c>
      <c r="C165" s="1" t="n">
        <v>46190</v>
      </c>
      <c r="D165" t="inlineStr">
        <is>
          <t>KALMAR LÄN</t>
        </is>
      </c>
      <c r="E165" t="inlineStr">
        <is>
          <t>MÖNSTERÅS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59309-2022</t>
        </is>
      </c>
      <c r="B166" s="1" t="n">
        <v>44904</v>
      </c>
      <c r="C166" s="1" t="n">
        <v>46190</v>
      </c>
      <c r="D166" t="inlineStr">
        <is>
          <t>KALMAR LÄN</t>
        </is>
      </c>
      <c r="E166" t="inlineStr">
        <is>
          <t>MÖNSTERÅS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8468-2024</t>
        </is>
      </c>
      <c r="B167" s="1" t="n">
        <v>45355.36631944445</v>
      </c>
      <c r="C167" s="1" t="n">
        <v>46190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59243-2022</t>
        </is>
      </c>
      <c r="B168" s="1" t="n">
        <v>44904</v>
      </c>
      <c r="C168" s="1" t="n">
        <v>46190</v>
      </c>
      <c r="D168" t="inlineStr">
        <is>
          <t>KALMAR LÄN</t>
        </is>
      </c>
      <c r="E168" t="inlineStr">
        <is>
          <t>MÖNSTERÅS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36286-2022</t>
        </is>
      </c>
      <c r="B169" s="1" t="n">
        <v>44803.62930555556</v>
      </c>
      <c r="C169" s="1" t="n">
        <v>46190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62276-2022</t>
        </is>
      </c>
      <c r="B170" s="1" t="n">
        <v>44923</v>
      </c>
      <c r="C170" s="1" t="n">
        <v>46190</v>
      </c>
      <c r="D170" t="inlineStr">
        <is>
          <t>KALMAR LÄN</t>
        </is>
      </c>
      <c r="E170" t="inlineStr">
        <is>
          <t>MÖNSTERÅS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6934-2025</t>
        </is>
      </c>
      <c r="B171" s="1" t="n">
        <v>45701.45549768519</v>
      </c>
      <c r="C171" s="1" t="n">
        <v>46190</v>
      </c>
      <c r="D171" t="inlineStr">
        <is>
          <t>KALMAR LÄN</t>
        </is>
      </c>
      <c r="E171" t="inlineStr">
        <is>
          <t>MÖNSTERÅS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55405-2023</t>
        </is>
      </c>
      <c r="B172" s="1" t="n">
        <v>45238</v>
      </c>
      <c r="C172" s="1" t="n">
        <v>46190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26145-2025</t>
        </is>
      </c>
      <c r="B173" s="1" t="n">
        <v>45805.42946759259</v>
      </c>
      <c r="C173" s="1" t="n">
        <v>46190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26157-2025</t>
        </is>
      </c>
      <c r="B174" s="1" t="n">
        <v>45805.43984953704</v>
      </c>
      <c r="C174" s="1" t="n">
        <v>46190</v>
      </c>
      <c r="D174" t="inlineStr">
        <is>
          <t>KALMAR LÄN</t>
        </is>
      </c>
      <c r="E174" t="inlineStr">
        <is>
          <t>MÖNSTERÅS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21950-2023</t>
        </is>
      </c>
      <c r="B175" s="1" t="n">
        <v>45068.62135416667</v>
      </c>
      <c r="C175" s="1" t="n">
        <v>46190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52649-2022</t>
        </is>
      </c>
      <c r="B176" s="1" t="n">
        <v>44874.7847337963</v>
      </c>
      <c r="C176" s="1" t="n">
        <v>46190</v>
      </c>
      <c r="D176" t="inlineStr">
        <is>
          <t>KALMAR LÄN</t>
        </is>
      </c>
      <c r="E176" t="inlineStr">
        <is>
          <t>MÖNSTERÅS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50298-2023</t>
        </is>
      </c>
      <c r="B177" s="1" t="n">
        <v>45209</v>
      </c>
      <c r="C177" s="1" t="n">
        <v>46190</v>
      </c>
      <c r="D177" t="inlineStr">
        <is>
          <t>KALMAR LÄN</t>
        </is>
      </c>
      <c r="E177" t="inlineStr">
        <is>
          <t>MÖNSTERÅS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10398-2023</t>
        </is>
      </c>
      <c r="B178" s="1" t="n">
        <v>44981</v>
      </c>
      <c r="C178" s="1" t="n">
        <v>46190</v>
      </c>
      <c r="D178" t="inlineStr">
        <is>
          <t>KALMAR LÄN</t>
        </is>
      </c>
      <c r="E178" t="inlineStr">
        <is>
          <t>MÖNSTERÅS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43431-2024</t>
        </is>
      </c>
      <c r="B179" s="1" t="n">
        <v>45568.64324074074</v>
      </c>
      <c r="C179" s="1" t="n">
        <v>46190</v>
      </c>
      <c r="D179" t="inlineStr">
        <is>
          <t>KALMAR LÄN</t>
        </is>
      </c>
      <c r="E179" t="inlineStr">
        <is>
          <t>MÖNSTERÅS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49658-2024</t>
        </is>
      </c>
      <c r="B180" s="1" t="n">
        <v>45596.63148148148</v>
      </c>
      <c r="C180" s="1" t="n">
        <v>46190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4946-2024</t>
        </is>
      </c>
      <c r="B181" s="1" t="n">
        <v>45329</v>
      </c>
      <c r="C181" s="1" t="n">
        <v>46190</v>
      </c>
      <c r="D181" t="inlineStr">
        <is>
          <t>KALMAR LÄN</t>
        </is>
      </c>
      <c r="E181" t="inlineStr">
        <is>
          <t>MÖNSTERÅS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5235-2024</t>
        </is>
      </c>
      <c r="B182" s="1" t="n">
        <v>45330.82181712963</v>
      </c>
      <c r="C182" s="1" t="n">
        <v>46190</v>
      </c>
      <c r="D182" t="inlineStr">
        <is>
          <t>KALMAR LÄN</t>
        </is>
      </c>
      <c r="E182" t="inlineStr">
        <is>
          <t>MÖNSTERÅS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57964-2024</t>
        </is>
      </c>
      <c r="B183" s="1" t="n">
        <v>45631.59407407408</v>
      </c>
      <c r="C183" s="1" t="n">
        <v>46190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21567-2024</t>
        </is>
      </c>
      <c r="B184" s="1" t="n">
        <v>45441</v>
      </c>
      <c r="C184" s="1" t="n">
        <v>46190</v>
      </c>
      <c r="D184" t="inlineStr">
        <is>
          <t>KALMAR LÄN</t>
        </is>
      </c>
      <c r="E184" t="inlineStr">
        <is>
          <t>MÖNSTERÅS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15067-2024</t>
        </is>
      </c>
      <c r="B185" s="1" t="n">
        <v>45399.58237268519</v>
      </c>
      <c r="C185" s="1" t="n">
        <v>46190</v>
      </c>
      <c r="D185" t="inlineStr">
        <is>
          <t>KALMAR LÄN</t>
        </is>
      </c>
      <c r="E185" t="inlineStr">
        <is>
          <t>MÖNSTERÅS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64514-2021</t>
        </is>
      </c>
      <c r="B186" s="1" t="n">
        <v>44511</v>
      </c>
      <c r="C186" s="1" t="n">
        <v>46190</v>
      </c>
      <c r="D186" t="inlineStr">
        <is>
          <t>KALMAR LÄN</t>
        </is>
      </c>
      <c r="E186" t="inlineStr">
        <is>
          <t>MÖNSTERÅS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6223-2022</t>
        </is>
      </c>
      <c r="B187" s="1" t="n">
        <v>44600</v>
      </c>
      <c r="C187" s="1" t="n">
        <v>46190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63471-2023</t>
        </is>
      </c>
      <c r="B188" s="1" t="n">
        <v>45274.63337962963</v>
      </c>
      <c r="C188" s="1" t="n">
        <v>46190</v>
      </c>
      <c r="D188" t="inlineStr">
        <is>
          <t>KALMAR LÄN</t>
        </is>
      </c>
      <c r="E188" t="inlineStr">
        <is>
          <t>MÖNSTERÅS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59298-2022</t>
        </is>
      </c>
      <c r="B189" s="1" t="n">
        <v>44904</v>
      </c>
      <c r="C189" s="1" t="n">
        <v>46190</v>
      </c>
      <c r="D189" t="inlineStr">
        <is>
          <t>KALMAR LÄN</t>
        </is>
      </c>
      <c r="E189" t="inlineStr">
        <is>
          <t>MÖNSTERÅS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2713-2024</t>
        </is>
      </c>
      <c r="B190" s="1" t="n">
        <v>45314</v>
      </c>
      <c r="C190" s="1" t="n">
        <v>46190</v>
      </c>
      <c r="D190" t="inlineStr">
        <is>
          <t>KALMAR LÄN</t>
        </is>
      </c>
      <c r="E190" t="inlineStr">
        <is>
          <t>MÖNSTERÅS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62218-2022</t>
        </is>
      </c>
      <c r="B191" s="1" t="n">
        <v>44922</v>
      </c>
      <c r="C191" s="1" t="n">
        <v>46190</v>
      </c>
      <c r="D191" t="inlineStr">
        <is>
          <t>KALMAR LÄN</t>
        </is>
      </c>
      <c r="E191" t="inlineStr">
        <is>
          <t>MÖNSTERÅS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214-2023</t>
        </is>
      </c>
      <c r="B192" s="1" t="n">
        <v>44928</v>
      </c>
      <c r="C192" s="1" t="n">
        <v>46190</v>
      </c>
      <c r="D192" t="inlineStr">
        <is>
          <t>KALMAR LÄN</t>
        </is>
      </c>
      <c r="E192" t="inlineStr">
        <is>
          <t>MÖNSTERÅS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17753-2023</t>
        </is>
      </c>
      <c r="B193" s="1" t="n">
        <v>45037</v>
      </c>
      <c r="C193" s="1" t="n">
        <v>46190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8981-2025</t>
        </is>
      </c>
      <c r="B194" s="1" t="n">
        <v>45713.53284722222</v>
      </c>
      <c r="C194" s="1" t="n">
        <v>46190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45689-2021</t>
        </is>
      </c>
      <c r="B195" s="1" t="n">
        <v>44441</v>
      </c>
      <c r="C195" s="1" t="n">
        <v>46190</v>
      </c>
      <c r="D195" t="inlineStr">
        <is>
          <t>KALMAR LÄN</t>
        </is>
      </c>
      <c r="E195" t="inlineStr">
        <is>
          <t>MÖNSTERÅS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31373-2025</t>
        </is>
      </c>
      <c r="B196" s="1" t="n">
        <v>45833.44520833333</v>
      </c>
      <c r="C196" s="1" t="n">
        <v>46190</v>
      </c>
      <c r="D196" t="inlineStr">
        <is>
          <t>KALMAR LÄN</t>
        </is>
      </c>
      <c r="E196" t="inlineStr">
        <is>
          <t>MÖNSTERÅS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49892-2024</t>
        </is>
      </c>
      <c r="B197" s="1" t="n">
        <v>45597.52</v>
      </c>
      <c r="C197" s="1" t="n">
        <v>46190</v>
      </c>
      <c r="D197" t="inlineStr">
        <is>
          <t>KALMAR LÄN</t>
        </is>
      </c>
      <c r="E197" t="inlineStr">
        <is>
          <t>MÖNSTERÅS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37096-2022</t>
        </is>
      </c>
      <c r="B198" s="1" t="n">
        <v>44806.50565972222</v>
      </c>
      <c r="C198" s="1" t="n">
        <v>46190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10388-2023</t>
        </is>
      </c>
      <c r="B199" s="1" t="n">
        <v>44981</v>
      </c>
      <c r="C199" s="1" t="n">
        <v>46190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28380-2024</t>
        </is>
      </c>
      <c r="B200" s="1" t="n">
        <v>45477.59359953704</v>
      </c>
      <c r="C200" s="1" t="n">
        <v>46190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63047-2023</t>
        </is>
      </c>
      <c r="B201" s="1" t="n">
        <v>45272</v>
      </c>
      <c r="C201" s="1" t="n">
        <v>46190</v>
      </c>
      <c r="D201" t="inlineStr">
        <is>
          <t>KALMAR LÄN</t>
        </is>
      </c>
      <c r="E201" t="inlineStr">
        <is>
          <t>MÖNSTERÅS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43583-2023</t>
        </is>
      </c>
      <c r="B202" s="1" t="n">
        <v>45184</v>
      </c>
      <c r="C202" s="1" t="n">
        <v>46190</v>
      </c>
      <c r="D202" t="inlineStr">
        <is>
          <t>KALMAR LÄN</t>
        </is>
      </c>
      <c r="E202" t="inlineStr">
        <is>
          <t>MÖNSTERÅS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17123-2023</t>
        </is>
      </c>
      <c r="B203" s="1" t="n">
        <v>45034</v>
      </c>
      <c r="C203" s="1" t="n">
        <v>46190</v>
      </c>
      <c r="D203" t="inlineStr">
        <is>
          <t>KALMAR LÄN</t>
        </is>
      </c>
      <c r="E203" t="inlineStr">
        <is>
          <t>MÖNSTERÅS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2671-2024</t>
        </is>
      </c>
      <c r="B204" s="1" t="n">
        <v>45314</v>
      </c>
      <c r="C204" s="1" t="n">
        <v>46190</v>
      </c>
      <c r="D204" t="inlineStr">
        <is>
          <t>KALMAR LÄN</t>
        </is>
      </c>
      <c r="E204" t="inlineStr">
        <is>
          <t>MÖNSTERÅS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46190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26494-2023</t>
        </is>
      </c>
      <c r="B206" s="1" t="n">
        <v>45092</v>
      </c>
      <c r="C206" s="1" t="n">
        <v>46190</v>
      </c>
      <c r="D206" t="inlineStr">
        <is>
          <t>KALMAR LÄN</t>
        </is>
      </c>
      <c r="E206" t="inlineStr">
        <is>
          <t>MÖNSTERÅS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39212-2022</t>
        </is>
      </c>
      <c r="B207" s="1" t="n">
        <v>44817</v>
      </c>
      <c r="C207" s="1" t="n">
        <v>46190</v>
      </c>
      <c r="D207" t="inlineStr">
        <is>
          <t>KALMAR LÄN</t>
        </is>
      </c>
      <c r="E207" t="inlineStr">
        <is>
          <t>MÖNSTERÅS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8113-2023</t>
        </is>
      </c>
      <c r="B208" s="1" t="n">
        <v>44974</v>
      </c>
      <c r="C208" s="1" t="n">
        <v>46190</v>
      </c>
      <c r="D208" t="inlineStr">
        <is>
          <t>KALMAR LÄN</t>
        </is>
      </c>
      <c r="E208" t="inlineStr">
        <is>
          <t>MÖNSTERÅS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14936-2023</t>
        </is>
      </c>
      <c r="B209" s="1" t="n">
        <v>45015</v>
      </c>
      <c r="C209" s="1" t="n">
        <v>46190</v>
      </c>
      <c r="D209" t="inlineStr">
        <is>
          <t>KALMAR LÄN</t>
        </is>
      </c>
      <c r="E209" t="inlineStr">
        <is>
          <t>MÖNSTERÅS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33111-2025</t>
        </is>
      </c>
      <c r="B210" s="1" t="n">
        <v>45840.48699074074</v>
      </c>
      <c r="C210" s="1" t="n">
        <v>46190</v>
      </c>
      <c r="D210" t="inlineStr">
        <is>
          <t>KALMAR LÄN</t>
        </is>
      </c>
      <c r="E210" t="inlineStr">
        <is>
          <t>MÖNSTERÅS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36644-2024</t>
        </is>
      </c>
      <c r="B211" s="1" t="n">
        <v>45537.60454861111</v>
      </c>
      <c r="C211" s="1" t="n">
        <v>46190</v>
      </c>
      <c r="D211" t="inlineStr">
        <is>
          <t>KALMAR LÄN</t>
        </is>
      </c>
      <c r="E211" t="inlineStr">
        <is>
          <t>MÖNSTERÅS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13902-2023</t>
        </is>
      </c>
      <c r="B212" s="1" t="n">
        <v>45008</v>
      </c>
      <c r="C212" s="1" t="n">
        <v>46190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41977-2025</t>
        </is>
      </c>
      <c r="B213" s="1" t="n">
        <v>45903.50716435185</v>
      </c>
      <c r="C213" s="1" t="n">
        <v>46190</v>
      </c>
      <c r="D213" t="inlineStr">
        <is>
          <t>KALMAR LÄN</t>
        </is>
      </c>
      <c r="E213" t="inlineStr">
        <is>
          <t>MÖNSTERÅS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18732-2025</t>
        </is>
      </c>
      <c r="B214" s="1" t="n">
        <v>45763.6754050926</v>
      </c>
      <c r="C214" s="1" t="n">
        <v>46190</v>
      </c>
      <c r="D214" t="inlineStr">
        <is>
          <t>KALMAR LÄN</t>
        </is>
      </c>
      <c r="E214" t="inlineStr">
        <is>
          <t>MÖNSTERÅS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22393-2025</t>
        </is>
      </c>
      <c r="B215" s="1" t="n">
        <v>45786.51432870371</v>
      </c>
      <c r="C215" s="1" t="n">
        <v>46190</v>
      </c>
      <c r="D215" t="inlineStr">
        <is>
          <t>KALMAR LÄN</t>
        </is>
      </c>
      <c r="E215" t="inlineStr">
        <is>
          <t>MÖNSTERÅS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27629-2023</t>
        </is>
      </c>
      <c r="B216" s="1" t="n">
        <v>45097.65108796296</v>
      </c>
      <c r="C216" s="1" t="n">
        <v>46190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1973-2023</t>
        </is>
      </c>
      <c r="B217" s="1" t="n">
        <v>44939</v>
      </c>
      <c r="C217" s="1" t="n">
        <v>46190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41880-2025</t>
        </is>
      </c>
      <c r="B218" s="1" t="n">
        <v>45903.35640046297</v>
      </c>
      <c r="C218" s="1" t="n">
        <v>46190</v>
      </c>
      <c r="D218" t="inlineStr">
        <is>
          <t>KALMAR LÄN</t>
        </is>
      </c>
      <c r="E218" t="inlineStr">
        <is>
          <t>MÖNSTERÅS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63469-2023</t>
        </is>
      </c>
      <c r="B219" s="1" t="n">
        <v>45274.62921296297</v>
      </c>
      <c r="C219" s="1" t="n">
        <v>46190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42941-2023</t>
        </is>
      </c>
      <c r="B220" s="1" t="n">
        <v>45182.57427083333</v>
      </c>
      <c r="C220" s="1" t="n">
        <v>46190</v>
      </c>
      <c r="D220" t="inlineStr">
        <is>
          <t>KALMAR LÄN</t>
        </is>
      </c>
      <c r="E220" t="inlineStr">
        <is>
          <t>MÖNSTERÅS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34851-2025</t>
        </is>
      </c>
      <c r="B221" s="1" t="n">
        <v>45849.4249537037</v>
      </c>
      <c r="C221" s="1" t="n">
        <v>46190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25165-2023</t>
        </is>
      </c>
      <c r="B222" s="1" t="n">
        <v>45086</v>
      </c>
      <c r="C222" s="1" t="n">
        <v>46190</v>
      </c>
      <c r="D222" t="inlineStr">
        <is>
          <t>KALMAR LÄN</t>
        </is>
      </c>
      <c r="E222" t="inlineStr">
        <is>
          <t>MÖNSTERÅS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63816-2023</t>
        </is>
      </c>
      <c r="B223" s="1" t="n">
        <v>45278.43667824074</v>
      </c>
      <c r="C223" s="1" t="n">
        <v>46190</v>
      </c>
      <c r="D223" t="inlineStr">
        <is>
          <t>KALMAR LÄN</t>
        </is>
      </c>
      <c r="E223" t="inlineStr">
        <is>
          <t>MÖNSTERÅS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36873-2024</t>
        </is>
      </c>
      <c r="B224" s="1" t="n">
        <v>45538.59396990741</v>
      </c>
      <c r="C224" s="1" t="n">
        <v>46190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42145-2025</t>
        </is>
      </c>
      <c r="B225" s="1" t="n">
        <v>45904.37453703704</v>
      </c>
      <c r="C225" s="1" t="n">
        <v>46190</v>
      </c>
      <c r="D225" t="inlineStr">
        <is>
          <t>KALMAR LÄN</t>
        </is>
      </c>
      <c r="E225" t="inlineStr">
        <is>
          <t>MÖNSTERÅS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38579-2022</t>
        </is>
      </c>
      <c r="B226" s="1" t="n">
        <v>44813</v>
      </c>
      <c r="C226" s="1" t="n">
        <v>46190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10111-2024</t>
        </is>
      </c>
      <c r="B227" s="1" t="n">
        <v>45364</v>
      </c>
      <c r="C227" s="1" t="n">
        <v>46190</v>
      </c>
      <c r="D227" t="inlineStr">
        <is>
          <t>KALMAR LÄN</t>
        </is>
      </c>
      <c r="E227" t="inlineStr">
        <is>
          <t>MÖNSTERÅS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15719-2024</t>
        </is>
      </c>
      <c r="B228" s="1" t="n">
        <v>45404.50043981482</v>
      </c>
      <c r="C228" s="1" t="n">
        <v>46190</v>
      </c>
      <c r="D228" t="inlineStr">
        <is>
          <t>KALMAR LÄN</t>
        </is>
      </c>
      <c r="E228" t="inlineStr">
        <is>
          <t>MÖNSTERÅS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14906-2023</t>
        </is>
      </c>
      <c r="B229" s="1" t="n">
        <v>45015</v>
      </c>
      <c r="C229" s="1" t="n">
        <v>46190</v>
      </c>
      <c r="D229" t="inlineStr">
        <is>
          <t>KALMAR LÄN</t>
        </is>
      </c>
      <c r="E229" t="inlineStr">
        <is>
          <t>MÖNSTERÅS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40241-2022</t>
        </is>
      </c>
      <c r="B230" s="1" t="n">
        <v>44820</v>
      </c>
      <c r="C230" s="1" t="n">
        <v>46190</v>
      </c>
      <c r="D230" t="inlineStr">
        <is>
          <t>KALMAR LÄN</t>
        </is>
      </c>
      <c r="E230" t="inlineStr">
        <is>
          <t>MÖNSTERÅS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44001-2023</t>
        </is>
      </c>
      <c r="B231" s="1" t="n">
        <v>45188</v>
      </c>
      <c r="C231" s="1" t="n">
        <v>46190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37094-2022</t>
        </is>
      </c>
      <c r="B232" s="1" t="n">
        <v>44806</v>
      </c>
      <c r="C232" s="1" t="n">
        <v>46190</v>
      </c>
      <c r="D232" t="inlineStr">
        <is>
          <t>KALMAR LÄN</t>
        </is>
      </c>
      <c r="E232" t="inlineStr">
        <is>
          <t>MÖNSTERÅS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59802-2024</t>
        </is>
      </c>
      <c r="B233" s="1" t="n">
        <v>45639.59788194444</v>
      </c>
      <c r="C233" s="1" t="n">
        <v>46190</v>
      </c>
      <c r="D233" t="inlineStr">
        <is>
          <t>KALMAR LÄN</t>
        </is>
      </c>
      <c r="E233" t="inlineStr">
        <is>
          <t>MÖNSTERÅS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37298-2025</t>
        </is>
      </c>
      <c r="B234" s="1" t="n">
        <v>45876.57542824074</v>
      </c>
      <c r="C234" s="1" t="n">
        <v>46190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37582-2025</t>
        </is>
      </c>
      <c r="B235" s="1" t="n">
        <v>45880.39017361111</v>
      </c>
      <c r="C235" s="1" t="n">
        <v>46190</v>
      </c>
      <c r="D235" t="inlineStr">
        <is>
          <t>KALMAR LÄN</t>
        </is>
      </c>
      <c r="E235" t="inlineStr">
        <is>
          <t>MÖNSTERÅS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56975-2025</t>
        </is>
      </c>
      <c r="B236" s="1" t="n">
        <v>45978.69001157407</v>
      </c>
      <c r="C236" s="1" t="n">
        <v>46190</v>
      </c>
      <c r="D236" t="inlineStr">
        <is>
          <t>KALMAR LÄN</t>
        </is>
      </c>
      <c r="E236" t="inlineStr">
        <is>
          <t>MÖNSTERÅS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31015-2023</t>
        </is>
      </c>
      <c r="B237" s="1" t="n">
        <v>45113</v>
      </c>
      <c r="C237" s="1" t="n">
        <v>46190</v>
      </c>
      <c r="D237" t="inlineStr">
        <is>
          <t>KALMAR LÄN</t>
        </is>
      </c>
      <c r="E237" t="inlineStr">
        <is>
          <t>MÖNSTERÅS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14610-2023</t>
        </is>
      </c>
      <c r="B238" s="1" t="n">
        <v>45013.63350694445</v>
      </c>
      <c r="C238" s="1" t="n">
        <v>46190</v>
      </c>
      <c r="D238" t="inlineStr">
        <is>
          <t>KALMAR LÄN</t>
        </is>
      </c>
      <c r="E238" t="inlineStr">
        <is>
          <t>MÖNSTERÅS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18843-2025</t>
        </is>
      </c>
      <c r="B239" s="1" t="n">
        <v>45764.40966435185</v>
      </c>
      <c r="C239" s="1" t="n">
        <v>46190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57763-2022</t>
        </is>
      </c>
      <c r="B240" s="1" t="n">
        <v>44897.59982638889</v>
      </c>
      <c r="C240" s="1" t="n">
        <v>46190</v>
      </c>
      <c r="D240" t="inlineStr">
        <is>
          <t>KALMAR LÄN</t>
        </is>
      </c>
      <c r="E240" t="inlineStr">
        <is>
          <t>MÖNSTERÅS</t>
        </is>
      </c>
      <c r="F240" t="inlineStr">
        <is>
          <t>Övriga Aktiebolag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9050-2023</t>
        </is>
      </c>
      <c r="B241" s="1" t="n">
        <v>44979.68982638889</v>
      </c>
      <c r="C241" s="1" t="n">
        <v>46190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24984-2023</t>
        </is>
      </c>
      <c r="B242" s="1" t="n">
        <v>45085</v>
      </c>
      <c r="C242" s="1" t="n">
        <v>46190</v>
      </c>
      <c r="D242" t="inlineStr">
        <is>
          <t>KALMAR LÄN</t>
        </is>
      </c>
      <c r="E242" t="inlineStr">
        <is>
          <t>MÖNSTERÅS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35883-2022</t>
        </is>
      </c>
      <c r="B243" s="1" t="n">
        <v>44802</v>
      </c>
      <c r="C243" s="1" t="n">
        <v>46190</v>
      </c>
      <c r="D243" t="inlineStr">
        <is>
          <t>KALMAR LÄN</t>
        </is>
      </c>
      <c r="E243" t="inlineStr">
        <is>
          <t>MÖNSTERÅS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58984-2025</t>
        </is>
      </c>
      <c r="B244" s="1" t="n">
        <v>45987</v>
      </c>
      <c r="C244" s="1" t="n">
        <v>46190</v>
      </c>
      <c r="D244" t="inlineStr">
        <is>
          <t>KALMAR LÄN</t>
        </is>
      </c>
      <c r="E244" t="inlineStr">
        <is>
          <t>MÖNSTERÅS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58985-2025</t>
        </is>
      </c>
      <c r="B245" s="1" t="n">
        <v>45987</v>
      </c>
      <c r="C245" s="1" t="n">
        <v>46190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58987-2025</t>
        </is>
      </c>
      <c r="B246" s="1" t="n">
        <v>45987</v>
      </c>
      <c r="C246" s="1" t="n">
        <v>46190</v>
      </c>
      <c r="D246" t="inlineStr">
        <is>
          <t>KALMAR LÄN</t>
        </is>
      </c>
      <c r="E246" t="inlineStr">
        <is>
          <t>MÖNSTERÅS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36619-2024</t>
        </is>
      </c>
      <c r="B247" s="1" t="n">
        <v>45537.5820949074</v>
      </c>
      <c r="C247" s="1" t="n">
        <v>46190</v>
      </c>
      <c r="D247" t="inlineStr">
        <is>
          <t>KALMAR LÄN</t>
        </is>
      </c>
      <c r="E247" t="inlineStr">
        <is>
          <t>MÖNSTERÅS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59233-2025</t>
        </is>
      </c>
      <c r="B248" s="1" t="n">
        <v>45988.62892361111</v>
      </c>
      <c r="C248" s="1" t="n">
        <v>46190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36890-2024</t>
        </is>
      </c>
      <c r="B249" s="1" t="n">
        <v>45538.60950231482</v>
      </c>
      <c r="C249" s="1" t="n">
        <v>46190</v>
      </c>
      <c r="D249" t="inlineStr">
        <is>
          <t>KALMAR LÄN</t>
        </is>
      </c>
      <c r="E249" t="inlineStr">
        <is>
          <t>MÖNSTERÅS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62638-2023</t>
        </is>
      </c>
      <c r="B250" s="1" t="n">
        <v>45271.4174537037</v>
      </c>
      <c r="C250" s="1" t="n">
        <v>46190</v>
      </c>
      <c r="D250" t="inlineStr">
        <is>
          <t>KALMAR LÄN</t>
        </is>
      </c>
      <c r="E250" t="inlineStr">
        <is>
          <t>MÖNSTERÅS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14900-2023</t>
        </is>
      </c>
      <c r="B251" s="1" t="n">
        <v>45015</v>
      </c>
      <c r="C251" s="1" t="n">
        <v>46190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25201-2023</t>
        </is>
      </c>
      <c r="B252" s="1" t="n">
        <v>45086</v>
      </c>
      <c r="C252" s="1" t="n">
        <v>46190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25205-2023</t>
        </is>
      </c>
      <c r="B253" s="1" t="n">
        <v>45086</v>
      </c>
      <c r="C253" s="1" t="n">
        <v>46190</v>
      </c>
      <c r="D253" t="inlineStr">
        <is>
          <t>KALMAR LÄN</t>
        </is>
      </c>
      <c r="E253" t="inlineStr">
        <is>
          <t>MÖNSTERÅS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776-2023</t>
        </is>
      </c>
      <c r="B254" s="1" t="n">
        <v>44931</v>
      </c>
      <c r="C254" s="1" t="n">
        <v>46190</v>
      </c>
      <c r="D254" t="inlineStr">
        <is>
          <t>KALMAR LÄN</t>
        </is>
      </c>
      <c r="E254" t="inlineStr">
        <is>
          <t>MÖNSTERÅS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13964-2025</t>
        </is>
      </c>
      <c r="B255" s="1" t="n">
        <v>45738.34930555556</v>
      </c>
      <c r="C255" s="1" t="n">
        <v>46190</v>
      </c>
      <c r="D255" t="inlineStr">
        <is>
          <t>KALMAR LÄN</t>
        </is>
      </c>
      <c r="E255" t="inlineStr">
        <is>
          <t>MÖNSTERÅS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13967-2025</t>
        </is>
      </c>
      <c r="B256" s="1" t="n">
        <v>45738.36251157407</v>
      </c>
      <c r="C256" s="1" t="n">
        <v>46190</v>
      </c>
      <c r="D256" t="inlineStr">
        <is>
          <t>KALMAR LÄN</t>
        </is>
      </c>
      <c r="E256" t="inlineStr">
        <is>
          <t>MÖNSTERÅS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40188-2023</t>
        </is>
      </c>
      <c r="B257" s="1" t="n">
        <v>45169</v>
      </c>
      <c r="C257" s="1" t="n">
        <v>46190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61018-2025</t>
        </is>
      </c>
      <c r="B258" s="1" t="n">
        <v>45999.85106481481</v>
      </c>
      <c r="C258" s="1" t="n">
        <v>46190</v>
      </c>
      <c r="D258" t="inlineStr">
        <is>
          <t>KALMAR LÄN</t>
        </is>
      </c>
      <c r="E258" t="inlineStr">
        <is>
          <t>MÖNSTERÅS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52963-2024</t>
        </is>
      </c>
      <c r="B259" s="1" t="n">
        <v>45611.31045138889</v>
      </c>
      <c r="C259" s="1" t="n">
        <v>46190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61016-2025</t>
        </is>
      </c>
      <c r="B260" s="1" t="n">
        <v>45999.84604166666</v>
      </c>
      <c r="C260" s="1" t="n">
        <v>46190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61017-2025</t>
        </is>
      </c>
      <c r="B261" s="1" t="n">
        <v>45999.84915509259</v>
      </c>
      <c r="C261" s="1" t="n">
        <v>46190</v>
      </c>
      <c r="D261" t="inlineStr">
        <is>
          <t>KALMAR LÄN</t>
        </is>
      </c>
      <c r="E261" t="inlineStr">
        <is>
          <t>MÖNSTERÅS</t>
        </is>
      </c>
      <c r="F261" t="inlineStr">
        <is>
          <t>Sveaskog</t>
        </is>
      </c>
      <c r="G261" t="n">
        <v>23.7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61019-2025</t>
        </is>
      </c>
      <c r="B262" s="1" t="n">
        <v>45999.85559027778</v>
      </c>
      <c r="C262" s="1" t="n">
        <v>46190</v>
      </c>
      <c r="D262" t="inlineStr">
        <is>
          <t>KALMAR LÄN</t>
        </is>
      </c>
      <c r="E262" t="inlineStr">
        <is>
          <t>MÖNSTERÅS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63355-2023</t>
        </is>
      </c>
      <c r="B263" s="1" t="n">
        <v>45274</v>
      </c>
      <c r="C263" s="1" t="n">
        <v>46190</v>
      </c>
      <c r="D263" t="inlineStr">
        <is>
          <t>KALMAR LÄN</t>
        </is>
      </c>
      <c r="E263" t="inlineStr">
        <is>
          <t>MÖNSTERÅS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52866-2022</t>
        </is>
      </c>
      <c r="B264" s="1" t="n">
        <v>44875</v>
      </c>
      <c r="C264" s="1" t="n">
        <v>46190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16428-2023</t>
        </is>
      </c>
      <c r="B265" s="1" t="n">
        <v>45022</v>
      </c>
      <c r="C265" s="1" t="n">
        <v>46190</v>
      </c>
      <c r="D265" t="inlineStr">
        <is>
          <t>KALMAR LÄN</t>
        </is>
      </c>
      <c r="E265" t="inlineStr">
        <is>
          <t>MÖNSTERÅS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2571-2025</t>
        </is>
      </c>
      <c r="B266" s="1" t="n">
        <v>45674.6674537037</v>
      </c>
      <c r="C266" s="1" t="n">
        <v>46190</v>
      </c>
      <c r="D266" t="inlineStr">
        <is>
          <t>KALMAR LÄN</t>
        </is>
      </c>
      <c r="E266" t="inlineStr">
        <is>
          <t>MÖNSTERÅS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62929-2025</t>
        </is>
      </c>
      <c r="B267" s="1" t="n">
        <v>46009.38640046296</v>
      </c>
      <c r="C267" s="1" t="n">
        <v>46190</v>
      </c>
      <c r="D267" t="inlineStr">
        <is>
          <t>KALMAR LÄN</t>
        </is>
      </c>
      <c r="E267" t="inlineStr">
        <is>
          <t>MÖNSTERÅS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61127-2022</t>
        </is>
      </c>
      <c r="B268" s="1" t="n">
        <v>44915</v>
      </c>
      <c r="C268" s="1" t="n">
        <v>46190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4472-2025</t>
        </is>
      </c>
      <c r="B269" s="1" t="n">
        <v>45686.61859953704</v>
      </c>
      <c r="C269" s="1" t="n">
        <v>46190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61197-2022</t>
        </is>
      </c>
      <c r="B270" s="1" t="n">
        <v>44915.53012731481</v>
      </c>
      <c r="C270" s="1" t="n">
        <v>46190</v>
      </c>
      <c r="D270" t="inlineStr">
        <is>
          <t>KALMAR LÄN</t>
        </is>
      </c>
      <c r="E270" t="inlineStr">
        <is>
          <t>MÖNSTERÅS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61204-2022</t>
        </is>
      </c>
      <c r="B271" s="1" t="n">
        <v>44915.53577546297</v>
      </c>
      <c r="C271" s="1" t="n">
        <v>46190</v>
      </c>
      <c r="D271" t="inlineStr">
        <is>
          <t>KALMAR LÄN</t>
        </is>
      </c>
      <c r="E271" t="inlineStr">
        <is>
          <t>MÖNSTERÅS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34344-2023</t>
        </is>
      </c>
      <c r="B272" s="1" t="n">
        <v>45139</v>
      </c>
      <c r="C272" s="1" t="n">
        <v>46190</v>
      </c>
      <c r="D272" t="inlineStr">
        <is>
          <t>KALMAR LÄN</t>
        </is>
      </c>
      <c r="E272" t="inlineStr">
        <is>
          <t>MÖNSTERÅS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39158-2022</t>
        </is>
      </c>
      <c r="B273" s="1" t="n">
        <v>44817</v>
      </c>
      <c r="C273" s="1" t="n">
        <v>46190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62283-2022</t>
        </is>
      </c>
      <c r="B274" s="1" t="n">
        <v>44923</v>
      </c>
      <c r="C274" s="1" t="n">
        <v>46190</v>
      </c>
      <c r="D274" t="inlineStr">
        <is>
          <t>KALMAR LÄN</t>
        </is>
      </c>
      <c r="E274" t="inlineStr">
        <is>
          <t>MÖNSTERÅS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51478-2022</t>
        </is>
      </c>
      <c r="B275" s="1" t="n">
        <v>44869.57064814815</v>
      </c>
      <c r="C275" s="1" t="n">
        <v>46190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45066-2024</t>
        </is>
      </c>
      <c r="B276" s="1" t="n">
        <v>45575.56173611111</v>
      </c>
      <c r="C276" s="1" t="n">
        <v>46190</v>
      </c>
      <c r="D276" t="inlineStr">
        <is>
          <t>KALMAR LÄN</t>
        </is>
      </c>
      <c r="E276" t="inlineStr">
        <is>
          <t>MÖNSTERÅS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4268-2025</t>
        </is>
      </c>
      <c r="B277" s="1" t="n">
        <v>45685.62289351852</v>
      </c>
      <c r="C277" s="1" t="n">
        <v>46190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46190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50913-2023</t>
        </is>
      </c>
      <c r="B279" s="1" t="n">
        <v>45218</v>
      </c>
      <c r="C279" s="1" t="n">
        <v>46190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3780-2026</t>
        </is>
      </c>
      <c r="B280" s="1" t="n">
        <v>46043.56958333333</v>
      </c>
      <c r="C280" s="1" t="n">
        <v>46190</v>
      </c>
      <c r="D280" t="inlineStr">
        <is>
          <t>KALMAR LÄN</t>
        </is>
      </c>
      <c r="E280" t="inlineStr">
        <is>
          <t>MÖNSTERÅS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58980-2025</t>
        </is>
      </c>
      <c r="B281" s="1" t="n">
        <v>45987</v>
      </c>
      <c r="C281" s="1" t="n">
        <v>46190</v>
      </c>
      <c r="D281" t="inlineStr">
        <is>
          <t>KALMAR LÄN</t>
        </is>
      </c>
      <c r="E281" t="inlineStr">
        <is>
          <t>MÖNSTERÅS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44535-2024</t>
        </is>
      </c>
      <c r="B282" s="1" t="n">
        <v>45574.45234953704</v>
      </c>
      <c r="C282" s="1" t="n">
        <v>46190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3789-2026</t>
        </is>
      </c>
      <c r="B283" s="1" t="n">
        <v>46043.57333333333</v>
      </c>
      <c r="C283" s="1" t="n">
        <v>46190</v>
      </c>
      <c r="D283" t="inlineStr">
        <is>
          <t>KALMAR LÄN</t>
        </is>
      </c>
      <c r="E283" t="inlineStr">
        <is>
          <t>MÖNSTERÅS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41480-2024</t>
        </is>
      </c>
      <c r="B284" s="1" t="n">
        <v>45560</v>
      </c>
      <c r="C284" s="1" t="n">
        <v>46190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51697-2025</t>
        </is>
      </c>
      <c r="B285" s="1" t="n">
        <v>45950</v>
      </c>
      <c r="C285" s="1" t="n">
        <v>46190</v>
      </c>
      <c r="D285" t="inlineStr">
        <is>
          <t>KALMAR LÄN</t>
        </is>
      </c>
      <c r="E285" t="inlineStr">
        <is>
          <t>MÖNSTERÅS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37951-2023</t>
        </is>
      </c>
      <c r="B286" s="1" t="n">
        <v>45160</v>
      </c>
      <c r="C286" s="1" t="n">
        <v>46190</v>
      </c>
      <c r="D286" t="inlineStr">
        <is>
          <t>KALMAR LÄN</t>
        </is>
      </c>
      <c r="E286" t="inlineStr">
        <is>
          <t>MÖNSTERÅS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5397-2026</t>
        </is>
      </c>
      <c r="B287" s="1" t="n">
        <v>46050.48417824074</v>
      </c>
      <c r="C287" s="1" t="n">
        <v>46190</v>
      </c>
      <c r="D287" t="inlineStr">
        <is>
          <t>KALMAR LÄN</t>
        </is>
      </c>
      <c r="E287" t="inlineStr">
        <is>
          <t>MÖNSTERÅS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8308-2025</t>
        </is>
      </c>
      <c r="B288" s="1" t="n">
        <v>45708.60461805556</v>
      </c>
      <c r="C288" s="1" t="n">
        <v>46190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15348-2024</t>
        </is>
      </c>
      <c r="B289" s="1" t="n">
        <v>45400.75738425926</v>
      </c>
      <c r="C289" s="1" t="n">
        <v>46190</v>
      </c>
      <c r="D289" t="inlineStr">
        <is>
          <t>KALMAR LÄN</t>
        </is>
      </c>
      <c r="E289" t="inlineStr">
        <is>
          <t>MÖNSTERÅS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59289-2022</t>
        </is>
      </c>
      <c r="B290" s="1" t="n">
        <v>44904</v>
      </c>
      <c r="C290" s="1" t="n">
        <v>46190</v>
      </c>
      <c r="D290" t="inlineStr">
        <is>
          <t>KALMAR LÄN</t>
        </is>
      </c>
      <c r="E290" t="inlineStr">
        <is>
          <t>MÖNSTERÅS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64339-2023</t>
        </is>
      </c>
      <c r="B291" s="1" t="n">
        <v>45280.45199074074</v>
      </c>
      <c r="C291" s="1" t="n">
        <v>46190</v>
      </c>
      <c r="D291" t="inlineStr">
        <is>
          <t>KALMAR LÄN</t>
        </is>
      </c>
      <c r="E291" t="inlineStr">
        <is>
          <t>MÖNSTERÅS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54022-2025</t>
        </is>
      </c>
      <c r="B292" s="1" t="n">
        <v>45961.67008101852</v>
      </c>
      <c r="C292" s="1" t="n">
        <v>46190</v>
      </c>
      <c r="D292" t="inlineStr">
        <is>
          <t>KALMAR LÄN</t>
        </is>
      </c>
      <c r="E292" t="inlineStr">
        <is>
          <t>MÖNSTERÅS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10710-2026</t>
        </is>
      </c>
      <c r="B293" s="1" t="n">
        <v>46078.45101851852</v>
      </c>
      <c r="C293" s="1" t="n">
        <v>46190</v>
      </c>
      <c r="D293" t="inlineStr">
        <is>
          <t>KALMAR LÄN</t>
        </is>
      </c>
      <c r="E293" t="inlineStr">
        <is>
          <t>MÖNSTERÅS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23701-2023</t>
        </is>
      </c>
      <c r="B294" s="1" t="n">
        <v>45075</v>
      </c>
      <c r="C294" s="1" t="n">
        <v>46190</v>
      </c>
      <c r="D294" t="inlineStr">
        <is>
          <t>KALMAR LÄN</t>
        </is>
      </c>
      <c r="E294" t="inlineStr">
        <is>
          <t>MÖNSTERÅS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3559-2023</t>
        </is>
      </c>
      <c r="B295" s="1" t="n">
        <v>44950.46746527778</v>
      </c>
      <c r="C295" s="1" t="n">
        <v>46190</v>
      </c>
      <c r="D295" t="inlineStr">
        <is>
          <t>KALMAR LÄN</t>
        </is>
      </c>
      <c r="E295" t="inlineStr">
        <is>
          <t>MÖNSTERÅS</t>
        </is>
      </c>
      <c r="G295" t="n">
        <v>16.4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45065-2024</t>
        </is>
      </c>
      <c r="B296" s="1" t="n">
        <v>45575.55944444444</v>
      </c>
      <c r="C296" s="1" t="n">
        <v>46190</v>
      </c>
      <c r="D296" t="inlineStr">
        <is>
          <t>KALMAR LÄN</t>
        </is>
      </c>
      <c r="E296" t="inlineStr">
        <is>
          <t>MÖNSTERÅS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44317-2023</t>
        </is>
      </c>
      <c r="B297" s="1" t="n">
        <v>45188</v>
      </c>
      <c r="C297" s="1" t="n">
        <v>46190</v>
      </c>
      <c r="D297" t="inlineStr">
        <is>
          <t>KALMAR LÄN</t>
        </is>
      </c>
      <c r="E297" t="inlineStr">
        <is>
          <t>MÖNSTERÅS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25577-2023</t>
        </is>
      </c>
      <c r="B298" s="1" t="n">
        <v>45089</v>
      </c>
      <c r="C298" s="1" t="n">
        <v>46190</v>
      </c>
      <c r="D298" t="inlineStr">
        <is>
          <t>KALMAR LÄN</t>
        </is>
      </c>
      <c r="E298" t="inlineStr">
        <is>
          <t>MÖNSTERÅS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41665-2022</t>
        </is>
      </c>
      <c r="B299" s="1" t="n">
        <v>44827</v>
      </c>
      <c r="C299" s="1" t="n">
        <v>46190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58720-2023</t>
        </is>
      </c>
      <c r="B300" s="1" t="n">
        <v>45251.73802083333</v>
      </c>
      <c r="C300" s="1" t="n">
        <v>46190</v>
      </c>
      <c r="D300" t="inlineStr">
        <is>
          <t>KALMAR LÄN</t>
        </is>
      </c>
      <c r="E300" t="inlineStr">
        <is>
          <t>MÖNSTERÅS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12912-2026</t>
        </is>
      </c>
      <c r="B301" s="1" t="n">
        <v>46092.58672453704</v>
      </c>
      <c r="C301" s="1" t="n">
        <v>46190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51533-2022</t>
        </is>
      </c>
      <c r="B302" s="1" t="n">
        <v>44869.80395833333</v>
      </c>
      <c r="C302" s="1" t="n">
        <v>46190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7978-2024</t>
        </is>
      </c>
      <c r="B303" s="1" t="n">
        <v>45350.59567129629</v>
      </c>
      <c r="C303" s="1" t="n">
        <v>46190</v>
      </c>
      <c r="D303" t="inlineStr">
        <is>
          <t>KALMAR LÄN</t>
        </is>
      </c>
      <c r="E303" t="inlineStr">
        <is>
          <t>MÖNSTERÅS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13426-2026</t>
        </is>
      </c>
      <c r="B304" s="1" t="n">
        <v>46094.47741898148</v>
      </c>
      <c r="C304" s="1" t="n">
        <v>46190</v>
      </c>
      <c r="D304" t="inlineStr">
        <is>
          <t>KALMAR LÄN</t>
        </is>
      </c>
      <c r="E304" t="inlineStr">
        <is>
          <t>MÖNSTERÅS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13723-2026</t>
        </is>
      </c>
      <c r="B305" s="1" t="n">
        <v>46097.60744212963</v>
      </c>
      <c r="C305" s="1" t="n">
        <v>46190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22377-2022</t>
        </is>
      </c>
      <c r="B306" s="1" t="n">
        <v>44713.41929398148</v>
      </c>
      <c r="C306" s="1" t="n">
        <v>46190</v>
      </c>
      <c r="D306" t="inlineStr">
        <is>
          <t>KALMAR LÄN</t>
        </is>
      </c>
      <c r="E306" t="inlineStr">
        <is>
          <t>MÖNSTERÅS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37376-2023</t>
        </is>
      </c>
      <c r="B307" s="1" t="n">
        <v>45155</v>
      </c>
      <c r="C307" s="1" t="n">
        <v>46190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42927-2023</t>
        </is>
      </c>
      <c r="B308" s="1" t="n">
        <v>45182</v>
      </c>
      <c r="C308" s="1" t="n">
        <v>46190</v>
      </c>
      <c r="D308" t="inlineStr">
        <is>
          <t>KALMAR LÄN</t>
        </is>
      </c>
      <c r="E308" t="inlineStr">
        <is>
          <t>MÖNSTERÅS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21507-2026</t>
        </is>
      </c>
      <c r="B309" s="1" t="n">
        <v>46148.5916087963</v>
      </c>
      <c r="C309" s="1" t="n">
        <v>46190</v>
      </c>
      <c r="D309" t="inlineStr">
        <is>
          <t>KALMAR LÄN</t>
        </is>
      </c>
      <c r="E309" t="inlineStr">
        <is>
          <t>MÖNSTERÅS</t>
        </is>
      </c>
      <c r="F309" t="inlineStr">
        <is>
          <t>Kyrkan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37250-2024</t>
        </is>
      </c>
      <c r="B310" s="1" t="n">
        <v>45540.35737268518</v>
      </c>
      <c r="C310" s="1" t="n">
        <v>46190</v>
      </c>
      <c r="D310" t="inlineStr">
        <is>
          <t>KALMAR LÄN</t>
        </is>
      </c>
      <c r="E310" t="inlineStr">
        <is>
          <t>MÖNSTERÅS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16002-2026</t>
        </is>
      </c>
      <c r="B311" s="1" t="n">
        <v>46108.39484953704</v>
      </c>
      <c r="C311" s="1" t="n">
        <v>46190</v>
      </c>
      <c r="D311" t="inlineStr">
        <is>
          <t>KALMAR LÄN</t>
        </is>
      </c>
      <c r="E311" t="inlineStr">
        <is>
          <t>MÖNSTERÅS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45504-2023</t>
        </is>
      </c>
      <c r="B312" s="1" t="n">
        <v>45188</v>
      </c>
      <c r="C312" s="1" t="n">
        <v>46190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27077-2022</t>
        </is>
      </c>
      <c r="B313" s="1" t="n">
        <v>44741.40471064814</v>
      </c>
      <c r="C313" s="1" t="n">
        <v>46190</v>
      </c>
      <c r="D313" t="inlineStr">
        <is>
          <t>KALMAR LÄN</t>
        </is>
      </c>
      <c r="E313" t="inlineStr">
        <is>
          <t>MÖNSTERÅS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36361-2023</t>
        </is>
      </c>
      <c r="B314" s="1" t="n">
        <v>45152</v>
      </c>
      <c r="C314" s="1" t="n">
        <v>46190</v>
      </c>
      <c r="D314" t="inlineStr">
        <is>
          <t>KALMAR LÄN</t>
        </is>
      </c>
      <c r="E314" t="inlineStr">
        <is>
          <t>MÖNSTERÅS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3759-2024</t>
        </is>
      </c>
      <c r="B315" s="1" t="n">
        <v>45321.55706018519</v>
      </c>
      <c r="C315" s="1" t="n">
        <v>46190</v>
      </c>
      <c r="D315" t="inlineStr">
        <is>
          <t>KALMAR LÄN</t>
        </is>
      </c>
      <c r="E315" t="inlineStr">
        <is>
          <t>MÖNSTERÅS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59159-2023</t>
        </is>
      </c>
      <c r="B316" s="1" t="n">
        <v>45251</v>
      </c>
      <c r="C316" s="1" t="n">
        <v>46190</v>
      </c>
      <c r="D316" t="inlineStr">
        <is>
          <t>KALMAR LÄN</t>
        </is>
      </c>
      <c r="E316" t="inlineStr">
        <is>
          <t>MÖNSTERÅS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16791-2026</t>
        </is>
      </c>
      <c r="B317" s="1" t="n">
        <v>46113.46681712963</v>
      </c>
      <c r="C317" s="1" t="n">
        <v>46190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16851-2026</t>
        </is>
      </c>
      <c r="B318" s="1" t="n">
        <v>46113.55351851852</v>
      </c>
      <c r="C318" s="1" t="n">
        <v>46190</v>
      </c>
      <c r="D318" t="inlineStr">
        <is>
          <t>KALMAR LÄN</t>
        </is>
      </c>
      <c r="E318" t="inlineStr">
        <is>
          <t>MÖNSTERÅS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62280-2022</t>
        </is>
      </c>
      <c r="B319" s="1" t="n">
        <v>44923</v>
      </c>
      <c r="C319" s="1" t="n">
        <v>46190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1889-2023</t>
        </is>
      </c>
      <c r="B320" s="1" t="n">
        <v>44939</v>
      </c>
      <c r="C320" s="1" t="n">
        <v>46190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4104-2024</t>
        </is>
      </c>
      <c r="B321" s="1" t="n">
        <v>45323.6571875</v>
      </c>
      <c r="C321" s="1" t="n">
        <v>46190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22753-2026</t>
        </is>
      </c>
      <c r="B322" s="1" t="n">
        <v>46157</v>
      </c>
      <c r="C322" s="1" t="n">
        <v>46190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22839-2026</t>
        </is>
      </c>
      <c r="B323" s="1" t="n">
        <v>46160.38347222222</v>
      </c>
      <c r="C323" s="1" t="n">
        <v>46190</v>
      </c>
      <c r="D323" t="inlineStr">
        <is>
          <t>KALMAR LÄN</t>
        </is>
      </c>
      <c r="E323" t="inlineStr">
        <is>
          <t>MÖNSTERÅS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22754-2026</t>
        </is>
      </c>
      <c r="B324" s="1" t="n">
        <v>46157.45215277778</v>
      </c>
      <c r="C324" s="1" t="n">
        <v>46190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26701-2022</t>
        </is>
      </c>
      <c r="B325" s="1" t="n">
        <v>44739</v>
      </c>
      <c r="C325" s="1" t="n">
        <v>46190</v>
      </c>
      <c r="D325" t="inlineStr">
        <is>
          <t>KALMAR LÄN</t>
        </is>
      </c>
      <c r="E325" t="inlineStr">
        <is>
          <t>MÖNSTERÅS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50914-2023</t>
        </is>
      </c>
      <c r="B326" s="1" t="n">
        <v>45218</v>
      </c>
      <c r="C326" s="1" t="n">
        <v>46190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22094-2026</t>
        </is>
      </c>
      <c r="B327" s="1" t="n">
        <v>46149</v>
      </c>
      <c r="C327" s="1" t="n">
        <v>46190</v>
      </c>
      <c r="D327" t="inlineStr">
        <is>
          <t>KALMAR LÄN</t>
        </is>
      </c>
      <c r="E327" t="inlineStr">
        <is>
          <t>MÖNSTERÅS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17956-2026</t>
        </is>
      </c>
      <c r="B328" s="1" t="n">
        <v>46122.69738425926</v>
      </c>
      <c r="C328" s="1" t="n">
        <v>46190</v>
      </c>
      <c r="D328" t="inlineStr">
        <is>
          <t>KALMAR LÄN</t>
        </is>
      </c>
      <c r="E328" t="inlineStr">
        <is>
          <t>MÖNSTERÅS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23845-2026</t>
        </is>
      </c>
      <c r="B329" s="1" t="n">
        <v>46167</v>
      </c>
      <c r="C329" s="1" t="n">
        <v>46190</v>
      </c>
      <c r="D329" t="inlineStr">
        <is>
          <t>KALMAR LÄN</t>
        </is>
      </c>
      <c r="E329" t="inlineStr">
        <is>
          <t>MÖNSTERÅS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18345-2026</t>
        </is>
      </c>
      <c r="B330" s="1" t="n">
        <v>46126</v>
      </c>
      <c r="C330" s="1" t="n">
        <v>46190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18346-2026</t>
        </is>
      </c>
      <c r="B331" s="1" t="n">
        <v>46126</v>
      </c>
      <c r="C331" s="1" t="n">
        <v>46190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40991-2024</t>
        </is>
      </c>
      <c r="B332" s="1" t="n">
        <v>45558.7166087963</v>
      </c>
      <c r="C332" s="1" t="n">
        <v>46190</v>
      </c>
      <c r="D332" t="inlineStr">
        <is>
          <t>KALMAR LÄN</t>
        </is>
      </c>
      <c r="E332" t="inlineStr">
        <is>
          <t>MÖNSTERÅS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18277-2026</t>
        </is>
      </c>
      <c r="B333" s="1" t="n">
        <v>46126.40341435185</v>
      </c>
      <c r="C333" s="1" t="n">
        <v>46190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18334-2026</t>
        </is>
      </c>
      <c r="B334" s="1" t="n">
        <v>46126.5346875</v>
      </c>
      <c r="C334" s="1" t="n">
        <v>46190</v>
      </c>
      <c r="D334" t="inlineStr">
        <is>
          <t>KALMAR LÄN</t>
        </is>
      </c>
      <c r="E334" t="inlineStr">
        <is>
          <t>MÖNSTERÅS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51804-2022</t>
        </is>
      </c>
      <c r="B335" s="1" t="n">
        <v>44872</v>
      </c>
      <c r="C335" s="1" t="n">
        <v>46190</v>
      </c>
      <c r="D335" t="inlineStr">
        <is>
          <t>KALMAR LÄN</t>
        </is>
      </c>
      <c r="E335" t="inlineStr">
        <is>
          <t>MÖNSTERÅS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61009-2024</t>
        </is>
      </c>
      <c r="B336" s="1" t="n">
        <v>45645.44524305555</v>
      </c>
      <c r="C336" s="1" t="n">
        <v>46190</v>
      </c>
      <c r="D336" t="inlineStr">
        <is>
          <t>KALMAR LÄN</t>
        </is>
      </c>
      <c r="E336" t="inlineStr">
        <is>
          <t>MÖNSTERÅS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24312-2026</t>
        </is>
      </c>
      <c r="B337" s="1" t="n">
        <v>46169.46418981482</v>
      </c>
      <c r="C337" s="1" t="n">
        <v>46190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24311-2026</t>
        </is>
      </c>
      <c r="B338" s="1" t="n">
        <v>46169.46253472222</v>
      </c>
      <c r="C338" s="1" t="n">
        <v>46190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24636-2026</t>
        </is>
      </c>
      <c r="B339" s="1" t="n">
        <v>46171.39765046296</v>
      </c>
      <c r="C339" s="1" t="n">
        <v>46190</v>
      </c>
      <c r="D339" t="inlineStr">
        <is>
          <t>KALMAR LÄN</t>
        </is>
      </c>
      <c r="E339" t="inlineStr">
        <is>
          <t>MÖNSTERÅS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31754-2023</t>
        </is>
      </c>
      <c r="B340" s="1" t="n">
        <v>45106</v>
      </c>
      <c r="C340" s="1" t="n">
        <v>46190</v>
      </c>
      <c r="D340" t="inlineStr">
        <is>
          <t>KALMAR LÄN</t>
        </is>
      </c>
      <c r="E340" t="inlineStr">
        <is>
          <t>MÖNSTERÅS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29957-2022</t>
        </is>
      </c>
      <c r="B341" s="1" t="n">
        <v>44756.64633101852</v>
      </c>
      <c r="C341" s="1" t="n">
        <v>46190</v>
      </c>
      <c r="D341" t="inlineStr">
        <is>
          <t>KALMAR LÄN</t>
        </is>
      </c>
      <c r="E341" t="inlineStr">
        <is>
          <t>MÖNSTERÅS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19023-2025</t>
        </is>
      </c>
      <c r="B342" s="1" t="n">
        <v>45764.62177083334</v>
      </c>
      <c r="C342" s="1" t="n">
        <v>46190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35135-2023</t>
        </is>
      </c>
      <c r="B343" s="1" t="n">
        <v>45145.52805555556</v>
      </c>
      <c r="C343" s="1" t="n">
        <v>46190</v>
      </c>
      <c r="D343" t="inlineStr">
        <is>
          <t>KALMAR LÄN</t>
        </is>
      </c>
      <c r="E343" t="inlineStr">
        <is>
          <t>MÖNSTERÅS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762-2023</t>
        </is>
      </c>
      <c r="B344" s="1" t="n">
        <v>44931</v>
      </c>
      <c r="C344" s="1" t="n">
        <v>46190</v>
      </c>
      <c r="D344" t="inlineStr">
        <is>
          <t>KALMAR LÄN</t>
        </is>
      </c>
      <c r="E344" t="inlineStr">
        <is>
          <t>MÖNSTERÅS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19525-2026</t>
        </is>
      </c>
      <c r="B345" s="1" t="n">
        <v>46134.35623842593</v>
      </c>
      <c r="C345" s="1" t="n">
        <v>46190</v>
      </c>
      <c r="D345" t="inlineStr">
        <is>
          <t>KALMAR LÄN</t>
        </is>
      </c>
      <c r="E345" t="inlineStr">
        <is>
          <t>MÖNSTERÅS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16437-2023</t>
        </is>
      </c>
      <c r="B346" s="1" t="n">
        <v>45022</v>
      </c>
      <c r="C346" s="1" t="n">
        <v>46190</v>
      </c>
      <c r="D346" t="inlineStr">
        <is>
          <t>KALMAR LÄN</t>
        </is>
      </c>
      <c r="E346" t="inlineStr">
        <is>
          <t>MÖNSTERÅS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37419-2024</t>
        </is>
      </c>
      <c r="B347" s="1" t="n">
        <v>45540.63810185185</v>
      </c>
      <c r="C347" s="1" t="n">
        <v>46190</v>
      </c>
      <c r="D347" t="inlineStr">
        <is>
          <t>KALMAR LÄN</t>
        </is>
      </c>
      <c r="E347" t="inlineStr">
        <is>
          <t>MÖNSTERÅS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59559-2025</t>
        </is>
      </c>
      <c r="B348" s="1" t="n">
        <v>45991</v>
      </c>
      <c r="C348" s="1" t="n">
        <v>46190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4981-2022</t>
        </is>
      </c>
      <c r="B349" s="1" t="n">
        <v>44593</v>
      </c>
      <c r="C349" s="1" t="n">
        <v>46190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51532-2022</t>
        </is>
      </c>
      <c r="B350" s="1" t="n">
        <v>44869.80046296296</v>
      </c>
      <c r="C350" s="1" t="n">
        <v>46190</v>
      </c>
      <c r="D350" t="inlineStr">
        <is>
          <t>KALMAR LÄN</t>
        </is>
      </c>
      <c r="E350" t="inlineStr">
        <is>
          <t>MÖNSTERÅS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62204-2022</t>
        </is>
      </c>
      <c r="B351" s="1" t="n">
        <v>44922</v>
      </c>
      <c r="C351" s="1" t="n">
        <v>46190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37235-2024</t>
        </is>
      </c>
      <c r="B352" s="1" t="n">
        <v>45540.31905092593</v>
      </c>
      <c r="C352" s="1" t="n">
        <v>46190</v>
      </c>
      <c r="D352" t="inlineStr">
        <is>
          <t>KALMAR LÄN</t>
        </is>
      </c>
      <c r="E352" t="inlineStr">
        <is>
          <t>MÖNSTERÅS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10104-2022</t>
        </is>
      </c>
      <c r="B353" s="1" t="n">
        <v>44621.78886574074</v>
      </c>
      <c r="C353" s="1" t="n">
        <v>46190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18857-2025</t>
        </is>
      </c>
      <c r="B354" s="1" t="n">
        <v>45764.42305555556</v>
      </c>
      <c r="C354" s="1" t="n">
        <v>46190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19934-2026</t>
        </is>
      </c>
      <c r="B355" s="1" t="n">
        <v>46136.37706018519</v>
      </c>
      <c r="C355" s="1" t="n">
        <v>46190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36908-2024</t>
        </is>
      </c>
      <c r="B356" s="1" t="n">
        <v>45538.63414351852</v>
      </c>
      <c r="C356" s="1" t="n">
        <v>46190</v>
      </c>
      <c r="D356" t="inlineStr">
        <is>
          <t>KALMAR LÄN</t>
        </is>
      </c>
      <c r="E356" t="inlineStr">
        <is>
          <t>MÖNSTERÅS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19280-2025</t>
        </is>
      </c>
      <c r="B357" s="1" t="n">
        <v>45769.54015046296</v>
      </c>
      <c r="C357" s="1" t="n">
        <v>46190</v>
      </c>
      <c r="D357" t="inlineStr">
        <is>
          <t>KALMAR LÄN</t>
        </is>
      </c>
      <c r="E357" t="inlineStr">
        <is>
          <t>MÖNSTERÅS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19930-2026</t>
        </is>
      </c>
      <c r="B358" s="1" t="n">
        <v>46136.37412037037</v>
      </c>
      <c r="C358" s="1" t="n">
        <v>46190</v>
      </c>
      <c r="D358" t="inlineStr">
        <is>
          <t>KALMAR LÄN</t>
        </is>
      </c>
      <c r="E358" t="inlineStr">
        <is>
          <t>MÖNSTERÅS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19933-2026</t>
        </is>
      </c>
      <c r="B359" s="1" t="n">
        <v>46136.37586805555</v>
      </c>
      <c r="C359" s="1" t="n">
        <v>46190</v>
      </c>
      <c r="D359" t="inlineStr">
        <is>
          <t>KALMAR LÄN</t>
        </is>
      </c>
      <c r="E359" t="inlineStr">
        <is>
          <t>MÖNSTERÅS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9132-2026</t>
        </is>
      </c>
      <c r="B360" s="1" t="n">
        <v>46069.74379629629</v>
      </c>
      <c r="C360" s="1" t="n">
        <v>46190</v>
      </c>
      <c r="D360" t="inlineStr">
        <is>
          <t>KALMAR LÄN</t>
        </is>
      </c>
      <c r="E360" t="inlineStr">
        <is>
          <t>MÖNSTERÅS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4981-2022</t>
        </is>
      </c>
      <c r="B361" s="1" t="n">
        <v>44593</v>
      </c>
      <c r="C361" s="1" t="n">
        <v>46190</v>
      </c>
      <c r="D361" t="inlineStr">
        <is>
          <t>KALMAR LÄN</t>
        </is>
      </c>
      <c r="E361" t="inlineStr">
        <is>
          <t>MÖNSTERÅS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5386-2026</t>
        </is>
      </c>
      <c r="B362" s="1" t="n">
        <v>46050.4659837963</v>
      </c>
      <c r="C362" s="1" t="n">
        <v>46190</v>
      </c>
      <c r="D362" t="inlineStr">
        <is>
          <t>KALMAR LÄN</t>
        </is>
      </c>
      <c r="E362" t="inlineStr">
        <is>
          <t>MÖNSTERÅS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4474-2025</t>
        </is>
      </c>
      <c r="B363" s="1" t="n">
        <v>45686.62033564815</v>
      </c>
      <c r="C363" s="1" t="n">
        <v>46190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36900-2024</t>
        </is>
      </c>
      <c r="B364" s="1" t="n">
        <v>45538.62778935185</v>
      </c>
      <c r="C364" s="1" t="n">
        <v>46190</v>
      </c>
      <c r="D364" t="inlineStr">
        <is>
          <t>KALMAR LÄN</t>
        </is>
      </c>
      <c r="E364" t="inlineStr">
        <is>
          <t>MÖNSTERÅS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36364-2023</t>
        </is>
      </c>
      <c r="B365" s="1" t="n">
        <v>45152</v>
      </c>
      <c r="C365" s="1" t="n">
        <v>46190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3853-2026</t>
        </is>
      </c>
      <c r="B366" s="1" t="n">
        <v>46043.60792824074</v>
      </c>
      <c r="C366" s="1" t="n">
        <v>46190</v>
      </c>
      <c r="D366" t="inlineStr">
        <is>
          <t>KALMAR LÄN</t>
        </is>
      </c>
      <c r="E366" t="inlineStr">
        <is>
          <t>MÖNSTERÅS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20160-2026</t>
        </is>
      </c>
      <c r="B367" s="1" t="n">
        <v>46138.87863425926</v>
      </c>
      <c r="C367" s="1" t="n">
        <v>46190</v>
      </c>
      <c r="D367" t="inlineStr">
        <is>
          <t>KALMAR LÄN</t>
        </is>
      </c>
      <c r="E367" t="inlineStr">
        <is>
          <t>MÖNSTERÅS</t>
        </is>
      </c>
      <c r="G367" t="n">
        <v>14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2026-06-17T09:18:39Z</dcterms:created>
  <dcterms:modified xmlns:dcterms="http://purl.org/dc/terms/" xmlns:xsi="http://www.w3.org/2001/XMLSchema-instance" xsi:type="dcterms:W3CDTF">2026-06-17T09:18:39Z</dcterms:modified>
</cp:coreProperties>
</file>
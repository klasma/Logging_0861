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45833</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45833</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45833</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45833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45833</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45833</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45833</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45833</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45833</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45833</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45833</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34721-2024</t>
        </is>
      </c>
      <c r="B16" s="1" t="n">
        <v>45526</v>
      </c>
      <c r="C16" s="1" t="n">
        <v>45833</v>
      </c>
      <c r="D16" t="inlineStr">
        <is>
          <t>KALMAR LÄN</t>
        </is>
      </c>
      <c r="E16" t="inlineStr">
        <is>
          <t>MÖNSTERÅS</t>
        </is>
      </c>
      <c r="F16" t="inlineStr">
        <is>
          <t>Kommuner</t>
        </is>
      </c>
      <c r="G16" t="n">
        <v>9.5</v>
      </c>
      <c r="H16" t="n">
        <v>1</v>
      </c>
      <c r="I16" t="n">
        <v>2</v>
      </c>
      <c r="J16" t="n">
        <v>3</v>
      </c>
      <c r="K16" t="n">
        <v>2</v>
      </c>
      <c r="L16" t="n">
        <v>1</v>
      </c>
      <c r="M16" t="n">
        <v>0</v>
      </c>
      <c r="N16" t="n">
        <v>0</v>
      </c>
      <c r="O16" t="n">
        <v>6</v>
      </c>
      <c r="P16" t="n">
        <v>3</v>
      </c>
      <c r="Q16" t="n">
        <v>8</v>
      </c>
      <c r="R16" s="2" t="inlineStr">
        <is>
          <t>Bredbandad ekbarkbock
Mörk spegelbock
Orangefläckig brunbagge
Ekgetingbock
Ekträdlöpare
Spillkråka
Lindbock
Spindelbock</t>
        </is>
      </c>
      <c r="S16">
        <f>HYPERLINK("https://klasma.github.io/Logging_0861/artfynd/A 34721-2024 artfynd.xlsx", "A 34721-2024")</f>
        <v/>
      </c>
      <c r="T16">
        <f>HYPERLINK("https://klasma.github.io/Logging_0861/kartor/A 34721-2024 karta.png", "A 34721-2024")</f>
        <v/>
      </c>
      <c r="V16">
        <f>HYPERLINK("https://klasma.github.io/Logging_0861/klagomål/A 34721-2024 FSC-klagomål.docx", "A 34721-2024")</f>
        <v/>
      </c>
      <c r="W16">
        <f>HYPERLINK("https://klasma.github.io/Logging_0861/klagomålsmail/A 34721-2024 FSC-klagomål mail.docx", "A 34721-2024")</f>
        <v/>
      </c>
      <c r="X16">
        <f>HYPERLINK("https://klasma.github.io/Logging_0861/tillsyn/A 34721-2024 tillsynsbegäran.docx", "A 34721-2024")</f>
        <v/>
      </c>
      <c r="Y16">
        <f>HYPERLINK("https://klasma.github.io/Logging_0861/tillsynsmail/A 34721-2024 tillsynsbegäran mail.docx", "A 34721-2024")</f>
        <v/>
      </c>
      <c r="Z16">
        <f>HYPERLINK("https://klasma.github.io/Logging_0861/fåglar/A 34721-2024 prioriterade fågelarter.docx", "A 34721-2024")</f>
        <v/>
      </c>
    </row>
    <row r="17" ht="15" customHeight="1">
      <c r="A17" t="inlineStr">
        <is>
          <t>A 39281-2022</t>
        </is>
      </c>
      <c r="B17" s="1" t="n">
        <v>44817</v>
      </c>
      <c r="C17" s="1" t="n">
        <v>45833</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45833</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45833</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45833</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45833</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45833</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45833</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45833</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45833</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45833</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45833</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45833</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45833</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45833</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45833</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45833</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45833</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45833</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45833</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45833</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45833</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45833</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45833</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45833</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45833</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45833</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45833</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45833</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45833</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45833</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45833</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45833</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45833</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45833</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45833</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45833</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45833</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45833</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45833</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45833</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45833</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45833</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45833</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45833</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45833</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45833</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45833</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45833</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45833</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45833</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45833</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45833</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45833</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45833</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45833</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45833</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45833</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45833</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45833</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45833</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45833</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45833</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45833</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45833</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45833</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45833</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45833</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45833</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45833</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45833</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45833</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45833</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45833</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45833</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45833</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45833</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45833</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45833</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45833</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45833</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45833</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45833</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45833</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45833</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45833</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45833</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45833</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45833</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45833</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45833</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45833</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45833</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45833</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45833</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45833</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45833</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45833</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45833</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45833</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45833</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45833</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45833</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45833</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45833</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45833</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45833</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45833</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45833</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45833</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45833</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45833</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45833</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45833</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45833</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45833</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45833</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45833</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45833</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45833</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45833</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45833</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45833</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45833</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45833</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45833</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45833</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45833</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45833</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45833</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45833</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45833</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45833</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45833</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45833</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45833</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45833</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45833</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45833</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45833</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45833</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45833</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45833</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45833</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45833</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45833</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45833</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45833</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45833</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45833</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45833</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45833</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45833</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45833</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45833</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45833</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45833</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45833</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45833</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45833</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45833</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45833</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45833</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45833</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45833</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45833</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45833</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45833</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45833</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45833</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45833</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45833</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45833</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45833</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45833</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45833</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45833</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45833</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45833</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45833</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45833</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45833</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45833</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45833</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45833</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45833</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45833</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45833</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45833</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45833</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45833</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45833</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45833</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45833</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45833</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45833</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45833</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45833</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45833</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45833</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45833</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45833</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45833</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45833</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45833</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45833</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45833</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45833</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45833</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45833</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45833</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45833</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45833</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45833</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45833</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45833</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45833</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45833</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45833</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45833</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45833</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45833</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45833</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45833</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45833</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45833</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45833</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45833</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45833</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45833</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45833</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45833</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45833</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45833</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45833</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45833</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45833</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45833</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45833</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45833</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45833</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45833</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45833</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45833</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45833</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45833</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45833</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45833</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45833</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45833</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45833</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45833</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45833</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45833</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45833</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45833</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45833</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45833</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45833</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45833</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45833</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45833</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45833</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45833</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45833</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45833</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45833</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45833</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45833</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45833</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45833</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45833</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45833</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45833</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45833</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45833</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45833</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45833</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45833</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45833</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45833</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45833</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45833</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45833</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45833</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45833</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45833</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45833</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45833</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45833</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45833</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45833</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45833</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45833</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45833</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45833</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45833</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45833</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45833</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45833</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45833</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45833</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45833</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45833</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45833</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45833</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45833</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45833</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45833</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45833</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45833</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45833</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45833</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45833</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45833</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45833</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45833</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45833</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45833</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45833</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45833</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45833</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45833</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45833</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45833</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45833</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45833</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45833</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45833</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45833</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45833</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45833</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45833</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45833</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45833</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45833</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45833</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45833</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45833</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45833</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45833</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45833</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45833</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45833</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45833</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45833</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45833</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45833</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45833</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45833</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45833</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45833</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45833</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45833</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45833</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45833</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45833</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45833</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45833</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45833</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45833</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45833</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45833</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45833</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45833</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45833</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45833</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45833</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45833</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45833</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45833</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45833</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45833</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45833</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45833</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45833</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45833</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45833</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45833</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45833</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45833</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45833</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45833</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45833</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45833</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45833</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45833</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45833</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45833</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45833</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45833</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45833</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45833</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45833</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45833</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45833</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45833</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45833</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45833</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45833</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45833</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45833</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45833</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45833</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45833</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45833</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45833</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45833</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45833</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45833</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45833</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45833</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45833</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45833</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45833</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45833</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45833</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45833</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45833</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45833</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45833</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45833</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45833</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45833</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45833</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45833</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45833</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45833</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45833</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45833</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45833</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45833</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45833</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45833</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45833</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45833</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45833</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45833</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45833</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45833</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45833</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45833</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45833</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45833</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45833</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45833</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45833</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45833</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45833</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45833</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45833</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45833</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45833</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45833</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45833</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45833</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45833</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45833</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45833</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45833</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45833</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45833</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45833</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45833</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45833</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45833</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45833</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45833</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45833</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45833</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45833</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45833</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45833</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45833</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45833</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45833</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45833</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45833</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45833</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45833</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45833</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45833</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45833</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45833</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45833</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45833</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45833</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45833</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45833</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45833</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45833</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45833</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45833</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45833</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45833</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45833</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45833</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45833</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45833</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45833</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45833</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45833</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45833</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45833</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45833</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45833</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45833</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45833</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45833</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45833</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45833</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45833</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45833</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45833</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45833</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45833</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45833</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45833</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45833</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45833</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45833</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45833</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45833</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45833</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45833</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45833</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45833</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45833</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45833</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45833</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45833</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45833</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45833</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45833</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45833</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45833</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45833</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45833</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45833</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45833</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45833</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45833</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45833</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45833</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45833</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45833</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45833</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45833</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45833</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45833</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45833</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45833</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45833</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45833</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45833</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45833</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45833</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45833</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45833</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45833</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45833</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45833</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45833</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45833</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45833</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45833</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45833</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45833</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45833</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45833</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45833</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45833</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45833</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45833</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45833</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45833</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45833</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45833</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45833</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45833</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45833</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45833</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45833</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45833</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45833</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45833</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45833</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45833</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45833</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45833</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45833</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45833</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45833</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45833</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45833</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45833</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45833</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45833</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45833</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45833</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45833</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45833</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45833</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45833</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45833</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45833</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45833</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45833</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45833</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45833</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45833</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45833</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45833</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45833</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45833</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45833</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45833</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45833</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45833</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45833</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45833</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45833</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45833</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45833</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45833</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45833</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45833</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45833</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45833</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45833</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45833</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45833</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45833</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45833</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45833</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45833</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45833</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45833</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45833</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45833</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45833</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45833</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45833</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45833</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45833</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45833</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45833</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45833</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45833</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45833</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45833</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45833</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45833</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45833</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45833</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45833</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45833</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45833</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45833</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45833</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45833</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45833</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45833</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45833</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45833</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45833</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45833</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45833</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45833</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45833</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45833</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45833</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45833</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45833</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45833</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45833</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45833</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45833</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45833</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45833</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45833</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45833</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45833</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45833</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45833</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45833</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45833</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45833</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45833</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45833</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45833</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45833</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45833</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45833</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45833</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45833</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45833</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45833</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45833</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45833</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45833</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45833</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45833</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45833</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45833</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45833</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45833</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45833</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45833</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45833</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45833</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45833</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45833</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45833</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45833</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45833</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45833</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45833</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45833</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45833</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45833</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45833</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45833</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45833</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45833</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45833</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45833</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45833</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45833</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45833</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45833</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45833</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45833</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45833</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45833</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45833</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45833</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45833</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45833</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45833</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45833</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45833</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45833</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45833</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45833</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45833</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45833</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45833</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45833</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45833</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45833</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45833</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45833</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45833</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45833</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45833</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45833</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45833</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45833</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45833</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45833</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45833</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45833</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45833</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45833</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45833</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45833</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45833</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45833</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45833</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45833</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45833</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45833</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45833</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45833</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45833</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45833</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45833</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45833</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45833</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45833</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45833</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45833</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45833</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45833</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45833</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45833</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45833</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45833</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45833</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45833</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45833</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45833</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45833</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45833</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45833</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45833</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45833</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45833</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45833</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45833</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45833</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45833</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45833</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45833</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45833</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45833</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45833</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45833</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45833</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45833</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45833</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45833</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45833</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45833</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45833</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45833</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45833</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45833</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45833</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45833</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45833</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45833</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45833</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45833</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45833</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45833</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45833</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45833</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45833</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45833</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45833</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45833</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45833</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45833</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45833</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45833</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45833</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45833</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45833</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45833</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45833</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45833</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45833</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45833</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45833</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45833</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26349-2025</t>
        </is>
      </c>
      <c r="B863" s="1" t="n">
        <v>45805</v>
      </c>
      <c r="C863" s="1" t="n">
        <v>45833</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26145-2025</t>
        </is>
      </c>
      <c r="B864" s="1" t="n">
        <v>45805</v>
      </c>
      <c r="C864" s="1" t="n">
        <v>45833</v>
      </c>
      <c r="D864" t="inlineStr">
        <is>
          <t>KALMAR LÄN</t>
        </is>
      </c>
      <c r="E864" t="inlineStr">
        <is>
          <t>MÖNSTERÅS</t>
        </is>
      </c>
      <c r="G864" t="n">
        <v>1.4</v>
      </c>
      <c r="H864" t="n">
        <v>0</v>
      </c>
      <c r="I864" t="n">
        <v>0</v>
      </c>
      <c r="J864" t="n">
        <v>0</v>
      </c>
      <c r="K864" t="n">
        <v>0</v>
      </c>
      <c r="L864" t="n">
        <v>0</v>
      </c>
      <c r="M864" t="n">
        <v>0</v>
      </c>
      <c r="N864" t="n">
        <v>0</v>
      </c>
      <c r="O864" t="n">
        <v>0</v>
      </c>
      <c r="P864" t="n">
        <v>0</v>
      </c>
      <c r="Q864" t="n">
        <v>0</v>
      </c>
      <c r="R864" s="2" t="inlineStr"/>
    </row>
    <row r="865" ht="15" customHeight="1">
      <c r="A865" t="inlineStr">
        <is>
          <t>A 26157-2025</t>
        </is>
      </c>
      <c r="B865" s="1" t="n">
        <v>45805</v>
      </c>
      <c r="C865" s="1" t="n">
        <v>45833</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row r="866" ht="15" customHeight="1">
      <c r="A866" t="inlineStr">
        <is>
          <t>A 26171-2025</t>
        </is>
      </c>
      <c r="B866" s="1" t="n">
        <v>45805</v>
      </c>
      <c r="C866" s="1" t="n">
        <v>45833</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45833</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28699-2025</t>
        </is>
      </c>
      <c r="B868" s="1" t="n">
        <v>45820</v>
      </c>
      <c r="C868" s="1" t="n">
        <v>45833</v>
      </c>
      <c r="D868" t="inlineStr">
        <is>
          <t>KALMAR LÄN</t>
        </is>
      </c>
      <c r="E868" t="inlineStr">
        <is>
          <t>MÖNSTERÅS</t>
        </is>
      </c>
      <c r="G868" t="n">
        <v>3</v>
      </c>
      <c r="H868" t="n">
        <v>0</v>
      </c>
      <c r="I868" t="n">
        <v>0</v>
      </c>
      <c r="J868" t="n">
        <v>0</v>
      </c>
      <c r="K868" t="n">
        <v>0</v>
      </c>
      <c r="L868" t="n">
        <v>0</v>
      </c>
      <c r="M868" t="n">
        <v>0</v>
      </c>
      <c r="N868" t="n">
        <v>0</v>
      </c>
      <c r="O868" t="n">
        <v>0</v>
      </c>
      <c r="P868" t="n">
        <v>0</v>
      </c>
      <c r="Q868" t="n">
        <v>0</v>
      </c>
      <c r="R868" s="2" t="inlineStr"/>
    </row>
    <row r="869" ht="15" customHeight="1">
      <c r="A869" t="inlineStr">
        <is>
          <t>A 28700-2025</t>
        </is>
      </c>
      <c r="B869" s="1" t="n">
        <v>45820</v>
      </c>
      <c r="C869" s="1" t="n">
        <v>45833</v>
      </c>
      <c r="D869" t="inlineStr">
        <is>
          <t>KALMAR LÄN</t>
        </is>
      </c>
      <c r="E869" t="inlineStr">
        <is>
          <t>MÖNSTERÅS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30574-2025</t>
        </is>
      </c>
      <c r="B870" s="1" t="n">
        <v>45831</v>
      </c>
      <c r="C870" s="1" t="n">
        <v>45833</v>
      </c>
      <c r="D870" t="inlineStr">
        <is>
          <t>KALMAR LÄN</t>
        </is>
      </c>
      <c r="E870" t="inlineStr">
        <is>
          <t>MÖNSTERÅS</t>
        </is>
      </c>
      <c r="G870" t="n">
        <v>1.2</v>
      </c>
      <c r="H870" t="n">
        <v>0</v>
      </c>
      <c r="I870" t="n">
        <v>0</v>
      </c>
      <c r="J870" t="n">
        <v>0</v>
      </c>
      <c r="K870" t="n">
        <v>0</v>
      </c>
      <c r="L870" t="n">
        <v>0</v>
      </c>
      <c r="M870" t="n">
        <v>0</v>
      </c>
      <c r="N870" t="n">
        <v>0</v>
      </c>
      <c r="O870" t="n">
        <v>0</v>
      </c>
      <c r="P870" t="n">
        <v>0</v>
      </c>
      <c r="Q870" t="n">
        <v>0</v>
      </c>
      <c r="R870" s="2" t="inlineStr"/>
    </row>
    <row r="871" ht="15" customHeight="1">
      <c r="A871" t="inlineStr">
        <is>
          <t>A 30565-2025</t>
        </is>
      </c>
      <c r="B871" s="1" t="n">
        <v>45831</v>
      </c>
      <c r="C871" s="1" t="n">
        <v>45833</v>
      </c>
      <c r="D871" t="inlineStr">
        <is>
          <t>KALMAR LÄN</t>
        </is>
      </c>
      <c r="E871" t="inlineStr">
        <is>
          <t>MÖNSTERÅS</t>
        </is>
      </c>
      <c r="G871" t="n">
        <v>3.7</v>
      </c>
      <c r="H871" t="n">
        <v>0</v>
      </c>
      <c r="I871" t="n">
        <v>0</v>
      </c>
      <c r="J871" t="n">
        <v>0</v>
      </c>
      <c r="K871" t="n">
        <v>0</v>
      </c>
      <c r="L871" t="n">
        <v>0</v>
      </c>
      <c r="M871" t="n">
        <v>0</v>
      </c>
      <c r="N871" t="n">
        <v>0</v>
      </c>
      <c r="O871" t="n">
        <v>0</v>
      </c>
      <c r="P871" t="n">
        <v>0</v>
      </c>
      <c r="Q871" t="n">
        <v>0</v>
      </c>
      <c r="R871" s="2" t="inlineStr"/>
    </row>
    <row r="872">
      <c r="A872" t="inlineStr">
        <is>
          <t>A 31016-2025</t>
        </is>
      </c>
      <c r="B872" s="1" t="n">
        <v>45832</v>
      </c>
      <c r="C872" s="1" t="n">
        <v>45833</v>
      </c>
      <c r="D872" t="inlineStr">
        <is>
          <t>KALMAR LÄN</t>
        </is>
      </c>
      <c r="E872" t="inlineStr">
        <is>
          <t>MÖNSTERÅS</t>
        </is>
      </c>
      <c r="G872" t="n">
        <v>3.1</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2025-06-25T19:45:42Z</dcterms:created>
  <dcterms:modified xmlns:dcterms="http://purl.org/dc/terms/" xmlns:xsi="http://www.w3.org/2001/XMLSchema-instance" xsi:type="dcterms:W3CDTF">2025-06-25T19:45:42Z</dcterms:modified>
</cp:coreProperties>
</file>
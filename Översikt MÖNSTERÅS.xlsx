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34337-2025</t>
        </is>
      </c>
      <c r="B7" s="1" t="n">
        <v>45846</v>
      </c>
      <c r="C7" s="1" t="n">
        <v>46070</v>
      </c>
      <c r="D7" t="inlineStr">
        <is>
          <t>KALMAR LÄN</t>
        </is>
      </c>
      <c r="E7" t="inlineStr">
        <is>
          <t>MÖNSTERÅS</t>
        </is>
      </c>
      <c r="G7" t="n">
        <v>4.5</v>
      </c>
      <c r="H7" t="n">
        <v>5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Havsörn
Spillkråka
Tallticka
Talltita
Vedskivlav
Gråkråka
Kungsfågel</t>
        </is>
      </c>
      <c r="S7">
        <f>HYPERLINK("https://klasma.github.io/Logging_0861/artfynd/A 34337-2025 artfynd.xlsx", "A 34337-2025")</f>
        <v/>
      </c>
      <c r="T7">
        <f>HYPERLINK("https://klasma.github.io/Logging_0861/kartor/A 34337-2025 karta.png", "A 34337-2025")</f>
        <v/>
      </c>
      <c r="V7">
        <f>HYPERLINK("https://klasma.github.io/Logging_0861/klagomål/A 34337-2025 FSC-klagomål.docx", "A 34337-2025")</f>
        <v/>
      </c>
      <c r="W7">
        <f>HYPERLINK("https://klasma.github.io/Logging_0861/klagomålsmail/A 34337-2025 FSC-klagomål mail.docx", "A 34337-2025")</f>
        <v/>
      </c>
      <c r="X7">
        <f>HYPERLINK("https://klasma.github.io/Logging_0861/tillsyn/A 34337-2025 tillsynsbegäran.docx", "A 34337-2025")</f>
        <v/>
      </c>
      <c r="Y7">
        <f>HYPERLINK("https://klasma.github.io/Logging_0861/tillsynsmail/A 34337-2025 tillsynsbegäran mail.docx", "A 34337-2025")</f>
        <v/>
      </c>
      <c r="Z7">
        <f>HYPERLINK("https://klasma.github.io/Logging_0861/fåglar/A 34337-2025 prioriterade fågelarter.docx", "A 34337-2025")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46070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46070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46070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46070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46070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46070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46070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46070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46070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46070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46070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46070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46070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46070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46070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46070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46070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46070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46070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46070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46070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46070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46070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46070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46070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46070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46070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46070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46070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6439-2026</t>
        </is>
      </c>
      <c r="B48" s="1" t="n">
        <v>46055.80600694445</v>
      </c>
      <c r="C48" s="1" t="n">
        <v>46070</v>
      </c>
      <c r="D48" t="inlineStr">
        <is>
          <t>KALMAR LÄN</t>
        </is>
      </c>
      <c r="E48" t="inlineStr">
        <is>
          <t>MÖNSTERÅS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HYPERLINK("https://klasma.github.io/Logging_0861/artfynd/A 6439-2026 artfynd.xlsx", "A 6439-2026")</f>
        <v/>
      </c>
      <c r="T48">
        <f>HYPERLINK("https://klasma.github.io/Logging_0861/kartor/A 6439-2026 karta.png", "A 6439-2026")</f>
        <v/>
      </c>
      <c r="V48">
        <f>HYPERLINK("https://klasma.github.io/Logging_0861/klagomål/A 6439-2026 FSC-klagomål.docx", "A 6439-2026")</f>
        <v/>
      </c>
      <c r="W48">
        <f>HYPERLINK("https://klasma.github.io/Logging_0861/klagomålsmail/A 6439-2026 FSC-klagomål mail.docx", "A 6439-2026")</f>
        <v/>
      </c>
      <c r="X48">
        <f>HYPERLINK("https://klasma.github.io/Logging_0861/tillsyn/A 6439-2026 tillsynsbegäran.docx", "A 6439-2026")</f>
        <v/>
      </c>
      <c r="Y48">
        <f>HYPERLINK("https://klasma.github.io/Logging_0861/tillsynsmail/A 6439-2026 tillsynsbegäran mail.docx", "A 6439-2026")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46070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46070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46070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53173-2022</t>
        </is>
      </c>
      <c r="B52" s="1" t="n">
        <v>44876.54432870371</v>
      </c>
      <c r="C52" s="1" t="n">
        <v>46070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53173-2022 artfynd.xlsx", "A 53173-2022")</f>
        <v/>
      </c>
      <c r="T52">
        <f>HYPERLINK("https://klasma.github.io/Logging_0861/kartor/A 53173-2022 karta.png", "A 53173-2022")</f>
        <v/>
      </c>
      <c r="V52">
        <f>HYPERLINK("https://klasma.github.io/Logging_0861/klagomål/A 53173-2022 FSC-klagomål.docx", "A 53173-2022")</f>
        <v/>
      </c>
      <c r="W52">
        <f>HYPERLINK("https://klasma.github.io/Logging_0861/klagomålsmail/A 53173-2022 FSC-klagomål mail.docx", "A 53173-2022")</f>
        <v/>
      </c>
      <c r="X52">
        <f>HYPERLINK("https://klasma.github.io/Logging_0861/tillsyn/A 53173-2022 tillsynsbegäran.docx", "A 53173-2022")</f>
        <v/>
      </c>
      <c r="Y52">
        <f>HYPERLINK("https://klasma.github.io/Logging_0861/tillsynsmail/A 53173-2022 tillsynsbegäran mail.docx", "A 53173-2022")</f>
        <v/>
      </c>
      <c r="Z52">
        <f>HYPERLINK("https://klasma.github.io/Logging_0861/fåglar/A 53173-2022 prioriterade fågelarter.docx", "A 53173-2022")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46070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46070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46070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46070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46070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46070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46070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46070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46070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46070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46070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46070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46070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46070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46070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46070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46070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46070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46070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46070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46070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46070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46070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46070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46070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46070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46070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46070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46070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46070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46070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46070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46070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46070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46070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46070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46070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46070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46070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46070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46070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46070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46070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46070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46070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46070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46070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46070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46070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46070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46070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46070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10108-2022</t>
        </is>
      </c>
      <c r="B109" s="1" t="n">
        <v>44621</v>
      </c>
      <c r="C109" s="1" t="n">
        <v>46070</v>
      </c>
      <c r="D109" t="inlineStr">
        <is>
          <t>KALMAR LÄN</t>
        </is>
      </c>
      <c r="E109" t="inlineStr">
        <is>
          <t>MÖNSTERÅS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46070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46070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46070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46070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46070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46070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46070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46070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46070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46070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9545-2024</t>
        </is>
      </c>
      <c r="B120" s="1" t="n">
        <v>45359</v>
      </c>
      <c r="C120" s="1" t="n">
        <v>46070</v>
      </c>
      <c r="D120" t="inlineStr">
        <is>
          <t>KALMAR LÄN</t>
        </is>
      </c>
      <c r="E120" t="inlineStr">
        <is>
          <t>MÖNSTERÅS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46070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46070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37419-2024</t>
        </is>
      </c>
      <c r="B123" s="1" t="n">
        <v>45540.63810185185</v>
      </c>
      <c r="C123" s="1" t="n">
        <v>46070</v>
      </c>
      <c r="D123" t="inlineStr">
        <is>
          <t>KALMAR LÄN</t>
        </is>
      </c>
      <c r="E123" t="inlineStr">
        <is>
          <t>MÖNSTERÅS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31384-2023</t>
        </is>
      </c>
      <c r="B124" s="1" t="n">
        <v>45114</v>
      </c>
      <c r="C124" s="1" t="n">
        <v>46070</v>
      </c>
      <c r="D124" t="inlineStr">
        <is>
          <t>KALMAR LÄN</t>
        </is>
      </c>
      <c r="E124" t="inlineStr">
        <is>
          <t>MÖNSTERÅS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24716-2022</t>
        </is>
      </c>
      <c r="B125" s="1" t="n">
        <v>44727</v>
      </c>
      <c r="C125" s="1" t="n">
        <v>46070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20498-2023</t>
        </is>
      </c>
      <c r="B126" s="1" t="n">
        <v>45057</v>
      </c>
      <c r="C126" s="1" t="n">
        <v>46070</v>
      </c>
      <c r="D126" t="inlineStr">
        <is>
          <t>KALMAR LÄN</t>
        </is>
      </c>
      <c r="E126" t="inlineStr">
        <is>
          <t>MÖNSTERÅS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46070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46070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36364-2023</t>
        </is>
      </c>
      <c r="B129" s="1" t="n">
        <v>45152</v>
      </c>
      <c r="C129" s="1" t="n">
        <v>46070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46070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46070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9974-2022</t>
        </is>
      </c>
      <c r="B132" s="1" t="n">
        <v>44621.39148148148</v>
      </c>
      <c r="C132" s="1" t="n">
        <v>46070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31757-2023</t>
        </is>
      </c>
      <c r="B133" s="1" t="n">
        <v>45106</v>
      </c>
      <c r="C133" s="1" t="n">
        <v>46070</v>
      </c>
      <c r="D133" t="inlineStr">
        <is>
          <t>KALMAR LÄN</t>
        </is>
      </c>
      <c r="E133" t="inlineStr">
        <is>
          <t>MÖNSTERÅS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4474-2025</t>
        </is>
      </c>
      <c r="B134" s="1" t="n">
        <v>45686.62033564815</v>
      </c>
      <c r="C134" s="1" t="n">
        <v>46070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16324-2023</t>
        </is>
      </c>
      <c r="B135" s="1" t="n">
        <v>45028</v>
      </c>
      <c r="C135" s="1" t="n">
        <v>46070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37235-2024</t>
        </is>
      </c>
      <c r="B136" s="1" t="n">
        <v>45540.31905092593</v>
      </c>
      <c r="C136" s="1" t="n">
        <v>46070</v>
      </c>
      <c r="D136" t="inlineStr">
        <is>
          <t>KALMAR LÄN</t>
        </is>
      </c>
      <c r="E136" t="inlineStr">
        <is>
          <t>MÖNSTERÅS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35805-2022</t>
        </is>
      </c>
      <c r="B137" s="1" t="n">
        <v>44802.30116898148</v>
      </c>
      <c r="C137" s="1" t="n">
        <v>46070</v>
      </c>
      <c r="D137" t="inlineStr">
        <is>
          <t>KALMAR LÄN</t>
        </is>
      </c>
      <c r="E137" t="inlineStr">
        <is>
          <t>MÖNSTERÅS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61751-2024</t>
        </is>
      </c>
      <c r="B138" s="1" t="n">
        <v>45649.39400462963</v>
      </c>
      <c r="C138" s="1" t="n">
        <v>46070</v>
      </c>
      <c r="D138" t="inlineStr">
        <is>
          <t>KALMAR LÄN</t>
        </is>
      </c>
      <c r="E138" t="inlineStr">
        <is>
          <t>MÖNSTERÅS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43746-2024</t>
        </is>
      </c>
      <c r="B139" s="1" t="n">
        <v>45569</v>
      </c>
      <c r="C139" s="1" t="n">
        <v>46070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32171-2021</t>
        </is>
      </c>
      <c r="B140" s="1" t="n">
        <v>44371</v>
      </c>
      <c r="C140" s="1" t="n">
        <v>46070</v>
      </c>
      <c r="D140" t="inlineStr">
        <is>
          <t>KALMAR LÄN</t>
        </is>
      </c>
      <c r="E140" t="inlineStr">
        <is>
          <t>MÖNSTERÅS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39860-2024</t>
        </is>
      </c>
      <c r="B141" s="1" t="n">
        <v>45553.44331018518</v>
      </c>
      <c r="C141" s="1" t="n">
        <v>46070</v>
      </c>
      <c r="D141" t="inlineStr">
        <is>
          <t>KALMAR LÄN</t>
        </is>
      </c>
      <c r="E141" t="inlineStr">
        <is>
          <t>MÖNSTERÅS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23009-2025</t>
        </is>
      </c>
      <c r="B142" s="1" t="n">
        <v>45790.61526620371</v>
      </c>
      <c r="C142" s="1" t="n">
        <v>46070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37233-2024</t>
        </is>
      </c>
      <c r="B143" s="1" t="n">
        <v>45540.31068287037</v>
      </c>
      <c r="C143" s="1" t="n">
        <v>46070</v>
      </c>
      <c r="D143" t="inlineStr">
        <is>
          <t>KALMAR LÄN</t>
        </is>
      </c>
      <c r="E143" t="inlineStr">
        <is>
          <t>MÖNSTERÅS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37237-2024</t>
        </is>
      </c>
      <c r="B144" s="1" t="n">
        <v>45540.33099537037</v>
      </c>
      <c r="C144" s="1" t="n">
        <v>46070</v>
      </c>
      <c r="D144" t="inlineStr">
        <is>
          <t>KALMAR LÄN</t>
        </is>
      </c>
      <c r="E144" t="inlineStr">
        <is>
          <t>MÖNSTERÅS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37180-2024</t>
        </is>
      </c>
      <c r="B145" s="1" t="n">
        <v>45539.64475694444</v>
      </c>
      <c r="C145" s="1" t="n">
        <v>46070</v>
      </c>
      <c r="D145" t="inlineStr">
        <is>
          <t>KALMAR LÄN</t>
        </is>
      </c>
      <c r="E145" t="inlineStr">
        <is>
          <t>MÖNSTERÅS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37239-2024</t>
        </is>
      </c>
      <c r="B146" s="1" t="n">
        <v>45540.34068287037</v>
      </c>
      <c r="C146" s="1" t="n">
        <v>46070</v>
      </c>
      <c r="D146" t="inlineStr">
        <is>
          <t>KALMAR LÄN</t>
        </is>
      </c>
      <c r="E146" t="inlineStr">
        <is>
          <t>MÖNSTERÅS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37245-2024</t>
        </is>
      </c>
      <c r="B147" s="1" t="n">
        <v>45540.34633101852</v>
      </c>
      <c r="C147" s="1" t="n">
        <v>46070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8222-2025</t>
        </is>
      </c>
      <c r="B148" s="1" t="n">
        <v>45708.46113425926</v>
      </c>
      <c r="C148" s="1" t="n">
        <v>46070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23566-2025</t>
        </is>
      </c>
      <c r="B149" s="1" t="n">
        <v>45792.59854166667</v>
      </c>
      <c r="C149" s="1" t="n">
        <v>46070</v>
      </c>
      <c r="D149" t="inlineStr">
        <is>
          <t>KALMAR LÄN</t>
        </is>
      </c>
      <c r="E149" t="inlineStr">
        <is>
          <t>MÖNSTERÅS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23454-2025</t>
        </is>
      </c>
      <c r="B150" s="1" t="n">
        <v>45792.42443287037</v>
      </c>
      <c r="C150" s="1" t="n">
        <v>46070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8468-2024</t>
        </is>
      </c>
      <c r="B151" s="1" t="n">
        <v>45355.36631944445</v>
      </c>
      <c r="C151" s="1" t="n">
        <v>46070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36286-2022</t>
        </is>
      </c>
      <c r="B152" s="1" t="n">
        <v>44803.62930555556</v>
      </c>
      <c r="C152" s="1" t="n">
        <v>46070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23788-2021</t>
        </is>
      </c>
      <c r="B153" s="1" t="n">
        <v>44335</v>
      </c>
      <c r="C153" s="1" t="n">
        <v>46070</v>
      </c>
      <c r="D153" t="inlineStr">
        <is>
          <t>KALMAR LÄN</t>
        </is>
      </c>
      <c r="E153" t="inlineStr">
        <is>
          <t>MÖNSTERÅS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62276-2022</t>
        </is>
      </c>
      <c r="B154" s="1" t="n">
        <v>44923</v>
      </c>
      <c r="C154" s="1" t="n">
        <v>46070</v>
      </c>
      <c r="D154" t="inlineStr">
        <is>
          <t>KALMAR LÄN</t>
        </is>
      </c>
      <c r="E154" t="inlineStr">
        <is>
          <t>MÖNSTERÅS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40344-2025</t>
        </is>
      </c>
      <c r="B155" s="1" t="n">
        <v>45895.47384259259</v>
      </c>
      <c r="C155" s="1" t="n">
        <v>46070</v>
      </c>
      <c r="D155" t="inlineStr">
        <is>
          <t>KALMAR LÄN</t>
        </is>
      </c>
      <c r="E155" t="inlineStr">
        <is>
          <t>MÖNSTERÅS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6934-2025</t>
        </is>
      </c>
      <c r="B156" s="1" t="n">
        <v>45701.45549768519</v>
      </c>
      <c r="C156" s="1" t="n">
        <v>46070</v>
      </c>
      <c r="D156" t="inlineStr">
        <is>
          <t>KALMAR LÄN</t>
        </is>
      </c>
      <c r="E156" t="inlineStr">
        <is>
          <t>MÖNSTERÅS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25299-2025</t>
        </is>
      </c>
      <c r="B157" s="1" t="n">
        <v>45800.57025462963</v>
      </c>
      <c r="C157" s="1" t="n">
        <v>46070</v>
      </c>
      <c r="D157" t="inlineStr">
        <is>
          <t>KALMAR LÄN</t>
        </is>
      </c>
      <c r="E157" t="inlineStr">
        <is>
          <t>MÖNSTERÅS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30565-2025</t>
        </is>
      </c>
      <c r="B158" s="1" t="n">
        <v>45831.40432870371</v>
      </c>
      <c r="C158" s="1" t="n">
        <v>46070</v>
      </c>
      <c r="D158" t="inlineStr">
        <is>
          <t>KALMAR LÄN</t>
        </is>
      </c>
      <c r="E158" t="inlineStr">
        <is>
          <t>MÖNSTERÅS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26171-2025</t>
        </is>
      </c>
      <c r="B159" s="1" t="n">
        <v>45805</v>
      </c>
      <c r="C159" s="1" t="n">
        <v>46070</v>
      </c>
      <c r="D159" t="inlineStr">
        <is>
          <t>KALMAR LÄN</t>
        </is>
      </c>
      <c r="E159" t="inlineStr">
        <is>
          <t>MÖNSTERÅS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26162-2025</t>
        </is>
      </c>
      <c r="B160" s="1" t="n">
        <v>45805.44922453703</v>
      </c>
      <c r="C160" s="1" t="n">
        <v>46070</v>
      </c>
      <c r="D160" t="inlineStr">
        <is>
          <t>KALMAR LÄN</t>
        </is>
      </c>
      <c r="E160" t="inlineStr">
        <is>
          <t>MÖNSTERÅS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46070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26157-2025</t>
        </is>
      </c>
      <c r="B162" s="1" t="n">
        <v>45805.43984953704</v>
      </c>
      <c r="C162" s="1" t="n">
        <v>46070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52649-2022</t>
        </is>
      </c>
      <c r="B163" s="1" t="n">
        <v>44874.7847337963</v>
      </c>
      <c r="C163" s="1" t="n">
        <v>46070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56839-2024</t>
        </is>
      </c>
      <c r="B164" s="1" t="n">
        <v>45628.51412037037</v>
      </c>
      <c r="C164" s="1" t="n">
        <v>46070</v>
      </c>
      <c r="D164" t="inlineStr">
        <is>
          <t>KALMAR LÄN</t>
        </is>
      </c>
      <c r="E164" t="inlineStr">
        <is>
          <t>MÖNSTERÅS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50298-2023</t>
        </is>
      </c>
      <c r="B165" s="1" t="n">
        <v>45209</v>
      </c>
      <c r="C165" s="1" t="n">
        <v>46070</v>
      </c>
      <c r="D165" t="inlineStr">
        <is>
          <t>KALMAR LÄN</t>
        </is>
      </c>
      <c r="E165" t="inlineStr">
        <is>
          <t>MÖNSTERÅS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10398-2023</t>
        </is>
      </c>
      <c r="B166" s="1" t="n">
        <v>44981</v>
      </c>
      <c r="C166" s="1" t="n">
        <v>46070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41518-2025</t>
        </is>
      </c>
      <c r="B167" s="1" t="n">
        <v>45901.54518518518</v>
      </c>
      <c r="C167" s="1" t="n">
        <v>46070</v>
      </c>
      <c r="D167" t="inlineStr">
        <is>
          <t>KALMAR LÄN</t>
        </is>
      </c>
      <c r="E167" t="inlineStr">
        <is>
          <t>MÖNSTERÅS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43431-2024</t>
        </is>
      </c>
      <c r="B168" s="1" t="n">
        <v>45568.64324074074</v>
      </c>
      <c r="C168" s="1" t="n">
        <v>46070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41977-2025</t>
        </is>
      </c>
      <c r="B169" s="1" t="n">
        <v>45903.50716435185</v>
      </c>
      <c r="C169" s="1" t="n">
        <v>46070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41854-2025</t>
        </is>
      </c>
      <c r="B170" s="1" t="n">
        <v>45902.92253472222</v>
      </c>
      <c r="C170" s="1" t="n">
        <v>46070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4722-2026</t>
        </is>
      </c>
      <c r="B171" s="1" t="n">
        <v>46048.47035879629</v>
      </c>
      <c r="C171" s="1" t="n">
        <v>46070</v>
      </c>
      <c r="D171" t="inlineStr">
        <is>
          <t>KALMAR LÄN</t>
        </is>
      </c>
      <c r="E171" t="inlineStr">
        <is>
          <t>MÖNSTERÅS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4725-2026</t>
        </is>
      </c>
      <c r="B172" s="1" t="n">
        <v>46048.47354166667</v>
      </c>
      <c r="C172" s="1" t="n">
        <v>46070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41880-2025</t>
        </is>
      </c>
      <c r="B173" s="1" t="n">
        <v>45903.35640046297</v>
      </c>
      <c r="C173" s="1" t="n">
        <v>46070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21567-2024</t>
        </is>
      </c>
      <c r="B174" s="1" t="n">
        <v>45441</v>
      </c>
      <c r="C174" s="1" t="n">
        <v>46070</v>
      </c>
      <c r="D174" t="inlineStr">
        <is>
          <t>KALMAR LÄN</t>
        </is>
      </c>
      <c r="E174" t="inlineStr">
        <is>
          <t>MÖNSTERÅS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42145-2025</t>
        </is>
      </c>
      <c r="B175" s="1" t="n">
        <v>45904.37453703704</v>
      </c>
      <c r="C175" s="1" t="n">
        <v>46070</v>
      </c>
      <c r="D175" t="inlineStr">
        <is>
          <t>KALMAR LÄN</t>
        </is>
      </c>
      <c r="E175" t="inlineStr">
        <is>
          <t>MÖNSTERÅS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64514-2021</t>
        </is>
      </c>
      <c r="B176" s="1" t="n">
        <v>44511</v>
      </c>
      <c r="C176" s="1" t="n">
        <v>46070</v>
      </c>
      <c r="D176" t="inlineStr">
        <is>
          <t>KALMAR LÄN</t>
        </is>
      </c>
      <c r="E176" t="inlineStr">
        <is>
          <t>MÖNSTERÅS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28699-2025</t>
        </is>
      </c>
      <c r="B177" s="1" t="n">
        <v>45819.94459490741</v>
      </c>
      <c r="C177" s="1" t="n">
        <v>46070</v>
      </c>
      <c r="D177" t="inlineStr">
        <is>
          <t>KALMAR LÄN</t>
        </is>
      </c>
      <c r="E177" t="inlineStr">
        <is>
          <t>MÖNSTERÅS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4711-2026</t>
        </is>
      </c>
      <c r="B178" s="1" t="n">
        <v>46048.46054398148</v>
      </c>
      <c r="C178" s="1" t="n">
        <v>46070</v>
      </c>
      <c r="D178" t="inlineStr">
        <is>
          <t>KALMAR LÄN</t>
        </is>
      </c>
      <c r="E178" t="inlineStr">
        <is>
          <t>MÖNSTERÅS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4715-2026</t>
        </is>
      </c>
      <c r="B179" s="1" t="n">
        <v>46048.46538194444</v>
      </c>
      <c r="C179" s="1" t="n">
        <v>46070</v>
      </c>
      <c r="D179" t="inlineStr">
        <is>
          <t>KALMAR LÄN</t>
        </is>
      </c>
      <c r="E179" t="inlineStr">
        <is>
          <t>MÖNSTERÅS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43492-2025</t>
        </is>
      </c>
      <c r="B180" s="1" t="n">
        <v>45911.51435185185</v>
      </c>
      <c r="C180" s="1" t="n">
        <v>46070</v>
      </c>
      <c r="D180" t="inlineStr">
        <is>
          <t>KALMAR LÄN</t>
        </is>
      </c>
      <c r="E180" t="inlineStr">
        <is>
          <t>MÖNSTERÅS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46070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62218-2022</t>
        </is>
      </c>
      <c r="B182" s="1" t="n">
        <v>44922</v>
      </c>
      <c r="C182" s="1" t="n">
        <v>46070</v>
      </c>
      <c r="D182" t="inlineStr">
        <is>
          <t>KALMAR LÄN</t>
        </is>
      </c>
      <c r="E182" t="inlineStr">
        <is>
          <t>MÖNSTERÅS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5386-2026</t>
        </is>
      </c>
      <c r="B183" s="1" t="n">
        <v>46050.4659837963</v>
      </c>
      <c r="C183" s="1" t="n">
        <v>46070</v>
      </c>
      <c r="D183" t="inlineStr">
        <is>
          <t>KALMAR LÄN</t>
        </is>
      </c>
      <c r="E183" t="inlineStr">
        <is>
          <t>MÖNSTERÅS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5392-2026</t>
        </is>
      </c>
      <c r="B184" s="1" t="n">
        <v>46050.47627314815</v>
      </c>
      <c r="C184" s="1" t="n">
        <v>46070</v>
      </c>
      <c r="D184" t="inlineStr">
        <is>
          <t>KALMAR LÄN</t>
        </is>
      </c>
      <c r="E184" t="inlineStr">
        <is>
          <t>MÖNSTERÅS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62916-2025</t>
        </is>
      </c>
      <c r="B185" s="1" t="n">
        <v>46009.3715162037</v>
      </c>
      <c r="C185" s="1" t="n">
        <v>46070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214-2023</t>
        </is>
      </c>
      <c r="B186" s="1" t="n">
        <v>44928</v>
      </c>
      <c r="C186" s="1" t="n">
        <v>46070</v>
      </c>
      <c r="D186" t="inlineStr">
        <is>
          <t>KALMAR LÄN</t>
        </is>
      </c>
      <c r="E186" t="inlineStr">
        <is>
          <t>MÖNSTERÅS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5343-2026</t>
        </is>
      </c>
      <c r="B187" s="1" t="n">
        <v>46050.43127314815</v>
      </c>
      <c r="C187" s="1" t="n">
        <v>46070</v>
      </c>
      <c r="D187" t="inlineStr">
        <is>
          <t>KALMAR LÄN</t>
        </is>
      </c>
      <c r="E187" t="inlineStr">
        <is>
          <t>MÖNSTERÅS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62905-2025</t>
        </is>
      </c>
      <c r="B188" s="1" t="n">
        <v>46009.35513888889</v>
      </c>
      <c r="C188" s="1" t="n">
        <v>46070</v>
      </c>
      <c r="D188" t="inlineStr">
        <is>
          <t>KALMAR LÄN</t>
        </is>
      </c>
      <c r="E188" t="inlineStr">
        <is>
          <t>MÖNSTERÅS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5397-2026</t>
        </is>
      </c>
      <c r="B189" s="1" t="n">
        <v>46050.48417824074</v>
      </c>
      <c r="C189" s="1" t="n">
        <v>46070</v>
      </c>
      <c r="D189" t="inlineStr">
        <is>
          <t>KALMAR LÄN</t>
        </is>
      </c>
      <c r="E189" t="inlineStr">
        <is>
          <t>MÖNSTERÅS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62929-2025</t>
        </is>
      </c>
      <c r="B190" s="1" t="n">
        <v>46009.38640046296</v>
      </c>
      <c r="C190" s="1" t="n">
        <v>46070</v>
      </c>
      <c r="D190" t="inlineStr">
        <is>
          <t>KALMAR LÄN</t>
        </is>
      </c>
      <c r="E190" t="inlineStr">
        <is>
          <t>MÖNSTERÅS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37096-2022</t>
        </is>
      </c>
      <c r="B191" s="1" t="n">
        <v>44806.50565972222</v>
      </c>
      <c r="C191" s="1" t="n">
        <v>46070</v>
      </c>
      <c r="D191" t="inlineStr">
        <is>
          <t>KALMAR LÄN</t>
        </is>
      </c>
      <c r="E191" t="inlineStr">
        <is>
          <t>MÖNSTERÅS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31016-2025</t>
        </is>
      </c>
      <c r="B192" s="1" t="n">
        <v>45832.51099537037</v>
      </c>
      <c r="C192" s="1" t="n">
        <v>46070</v>
      </c>
      <c r="D192" t="inlineStr">
        <is>
          <t>KALMAR LÄN</t>
        </is>
      </c>
      <c r="E192" t="inlineStr">
        <is>
          <t>MÖNSTERÅS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28380-2024</t>
        </is>
      </c>
      <c r="B193" s="1" t="n">
        <v>45477.59359953704</v>
      </c>
      <c r="C193" s="1" t="n">
        <v>46070</v>
      </c>
      <c r="D193" t="inlineStr">
        <is>
          <t>KALMAR LÄN</t>
        </is>
      </c>
      <c r="E193" t="inlineStr">
        <is>
          <t>MÖNSTERÅS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31373-2025</t>
        </is>
      </c>
      <c r="B194" s="1" t="n">
        <v>45833.44520833333</v>
      </c>
      <c r="C194" s="1" t="n">
        <v>46070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38471-2023</t>
        </is>
      </c>
      <c r="B195" s="1" t="n">
        <v>45162.45815972222</v>
      </c>
      <c r="C195" s="1" t="n">
        <v>46070</v>
      </c>
      <c r="D195" t="inlineStr">
        <is>
          <t>KALMAR LÄN</t>
        </is>
      </c>
      <c r="E195" t="inlineStr">
        <is>
          <t>MÖNSTERÅS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46070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39212-2022</t>
        </is>
      </c>
      <c r="B197" s="1" t="n">
        <v>44817</v>
      </c>
      <c r="C197" s="1" t="n">
        <v>46070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8113-2023</t>
        </is>
      </c>
      <c r="B198" s="1" t="n">
        <v>44974</v>
      </c>
      <c r="C198" s="1" t="n">
        <v>46070</v>
      </c>
      <c r="D198" t="inlineStr">
        <is>
          <t>KALMAR LÄN</t>
        </is>
      </c>
      <c r="E198" t="inlineStr">
        <is>
          <t>MÖNSTERÅS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14936-2023</t>
        </is>
      </c>
      <c r="B199" s="1" t="n">
        <v>45015</v>
      </c>
      <c r="C199" s="1" t="n">
        <v>46070</v>
      </c>
      <c r="D199" t="inlineStr">
        <is>
          <t>KALMAR LÄN</t>
        </is>
      </c>
      <c r="E199" t="inlineStr">
        <is>
          <t>MÖNSTERÅS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13902-2023</t>
        </is>
      </c>
      <c r="B200" s="1" t="n">
        <v>45008</v>
      </c>
      <c r="C200" s="1" t="n">
        <v>46070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27629-2023</t>
        </is>
      </c>
      <c r="B201" s="1" t="n">
        <v>45097.65108796296</v>
      </c>
      <c r="C201" s="1" t="n">
        <v>46070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33111-2025</t>
        </is>
      </c>
      <c r="B202" s="1" t="n">
        <v>45840.48699074074</v>
      </c>
      <c r="C202" s="1" t="n">
        <v>46070</v>
      </c>
      <c r="D202" t="inlineStr">
        <is>
          <t>KALMAR LÄN</t>
        </is>
      </c>
      <c r="E202" t="inlineStr">
        <is>
          <t>MÖNSTERÅS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47012-2025</t>
        </is>
      </c>
      <c r="B203" s="1" t="n">
        <v>45929.57331018519</v>
      </c>
      <c r="C203" s="1" t="n">
        <v>46070</v>
      </c>
      <c r="D203" t="inlineStr">
        <is>
          <t>KALMAR LÄN</t>
        </is>
      </c>
      <c r="E203" t="inlineStr">
        <is>
          <t>MÖNSTERÅS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63469-2023</t>
        </is>
      </c>
      <c r="B204" s="1" t="n">
        <v>45274.62921296297</v>
      </c>
      <c r="C204" s="1" t="n">
        <v>46070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46976-2025</t>
        </is>
      </c>
      <c r="B205" s="1" t="n">
        <v>45929.51736111111</v>
      </c>
      <c r="C205" s="1" t="n">
        <v>46070</v>
      </c>
      <c r="D205" t="inlineStr">
        <is>
          <t>KALMAR LÄN</t>
        </is>
      </c>
      <c r="E205" t="inlineStr">
        <is>
          <t>MÖNSTERÅS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18732-2025</t>
        </is>
      </c>
      <c r="B206" s="1" t="n">
        <v>45763.6754050926</v>
      </c>
      <c r="C206" s="1" t="n">
        <v>46070</v>
      </c>
      <c r="D206" t="inlineStr">
        <is>
          <t>KALMAR LÄN</t>
        </is>
      </c>
      <c r="E206" t="inlineStr">
        <is>
          <t>MÖNSTERÅS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18849-2025</t>
        </is>
      </c>
      <c r="B207" s="1" t="n">
        <v>45764.41733796296</v>
      </c>
      <c r="C207" s="1" t="n">
        <v>46070</v>
      </c>
      <c r="D207" t="inlineStr">
        <is>
          <t>KALMAR LÄN</t>
        </is>
      </c>
      <c r="E207" t="inlineStr">
        <is>
          <t>MÖNSTERÅS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18857-2025</t>
        </is>
      </c>
      <c r="B208" s="1" t="n">
        <v>45764.42305555556</v>
      </c>
      <c r="C208" s="1" t="n">
        <v>46070</v>
      </c>
      <c r="D208" t="inlineStr">
        <is>
          <t>KALMAR LÄN</t>
        </is>
      </c>
      <c r="E208" t="inlineStr">
        <is>
          <t>MÖNSTERÅS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38579-2022</t>
        </is>
      </c>
      <c r="B209" s="1" t="n">
        <v>44813</v>
      </c>
      <c r="C209" s="1" t="n">
        <v>46070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22393-2025</t>
        </is>
      </c>
      <c r="B210" s="1" t="n">
        <v>45786.51432870371</v>
      </c>
      <c r="C210" s="1" t="n">
        <v>46070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10111-2024</t>
        </is>
      </c>
      <c r="B211" s="1" t="n">
        <v>45364</v>
      </c>
      <c r="C211" s="1" t="n">
        <v>46070</v>
      </c>
      <c r="D211" t="inlineStr">
        <is>
          <t>KALMAR LÄN</t>
        </is>
      </c>
      <c r="E211" t="inlineStr">
        <is>
          <t>MÖNSTERÅS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34851-2025</t>
        </is>
      </c>
      <c r="B212" s="1" t="n">
        <v>45849.4249537037</v>
      </c>
      <c r="C212" s="1" t="n">
        <v>46070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34937-2025</t>
        </is>
      </c>
      <c r="B213" s="1" t="n">
        <v>45849.57783564815</v>
      </c>
      <c r="C213" s="1" t="n">
        <v>46070</v>
      </c>
      <c r="D213" t="inlineStr">
        <is>
          <t>KALMAR LÄN</t>
        </is>
      </c>
      <c r="E213" t="inlineStr">
        <is>
          <t>MÖNSTERÅS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34945-2025</t>
        </is>
      </c>
      <c r="B214" s="1" t="n">
        <v>45849.59052083334</v>
      </c>
      <c r="C214" s="1" t="n">
        <v>46070</v>
      </c>
      <c r="D214" t="inlineStr">
        <is>
          <t>KALMAR LÄN</t>
        </is>
      </c>
      <c r="E214" t="inlineStr">
        <is>
          <t>MÖNSTERÅS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35065-2025</t>
        </is>
      </c>
      <c r="B215" s="1" t="n">
        <v>45852.43928240741</v>
      </c>
      <c r="C215" s="1" t="n">
        <v>46070</v>
      </c>
      <c r="D215" t="inlineStr">
        <is>
          <t>KALMAR LÄN</t>
        </is>
      </c>
      <c r="E215" t="inlineStr">
        <is>
          <t>MÖNSTERÅS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44001-2023</t>
        </is>
      </c>
      <c r="B216" s="1" t="n">
        <v>45188</v>
      </c>
      <c r="C216" s="1" t="n">
        <v>46070</v>
      </c>
      <c r="D216" t="inlineStr">
        <is>
          <t>KALMAR LÄN</t>
        </is>
      </c>
      <c r="E216" t="inlineStr">
        <is>
          <t>MÖNSTERÅS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27610-2023</t>
        </is>
      </c>
      <c r="B217" s="1" t="n">
        <v>45097</v>
      </c>
      <c r="C217" s="1" t="n">
        <v>46070</v>
      </c>
      <c r="D217" t="inlineStr">
        <is>
          <t>KALMAR LÄN</t>
        </is>
      </c>
      <c r="E217" t="inlineStr">
        <is>
          <t>MÖNSTERÅS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35934-2025</t>
        </is>
      </c>
      <c r="B218" s="1" t="n">
        <v>45862.62900462963</v>
      </c>
      <c r="C218" s="1" t="n">
        <v>46070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35941-2025</t>
        </is>
      </c>
      <c r="B219" s="1" t="n">
        <v>45862.65146990741</v>
      </c>
      <c r="C219" s="1" t="n">
        <v>46070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62204-2022</t>
        </is>
      </c>
      <c r="B220" s="1" t="n">
        <v>44922</v>
      </c>
      <c r="C220" s="1" t="n">
        <v>46070</v>
      </c>
      <c r="D220" t="inlineStr">
        <is>
          <t>KALMAR LÄN</t>
        </is>
      </c>
      <c r="E220" t="inlineStr">
        <is>
          <t>MÖNSTERÅS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39262-2022</t>
        </is>
      </c>
      <c r="B221" s="1" t="n">
        <v>44817</v>
      </c>
      <c r="C221" s="1" t="n">
        <v>46070</v>
      </c>
      <c r="D221" t="inlineStr">
        <is>
          <t>KALMAR LÄN</t>
        </is>
      </c>
      <c r="E221" t="inlineStr">
        <is>
          <t>MÖNSTERÅS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6437-2026</t>
        </is>
      </c>
      <c r="B222" s="1" t="n">
        <v>46055.79810185185</v>
      </c>
      <c r="C222" s="1" t="n">
        <v>46070</v>
      </c>
      <c r="D222" t="inlineStr">
        <is>
          <t>KALMAR LÄN</t>
        </is>
      </c>
      <c r="E222" t="inlineStr">
        <is>
          <t>MÖNSTERÅS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6440-2026</t>
        </is>
      </c>
      <c r="B223" s="1" t="n">
        <v>46055.80803240741</v>
      </c>
      <c r="C223" s="1" t="n">
        <v>46070</v>
      </c>
      <c r="D223" t="inlineStr">
        <is>
          <t>KALMAR LÄN</t>
        </is>
      </c>
      <c r="E223" t="inlineStr">
        <is>
          <t>MÖNSTERÅS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12461-2022</t>
        </is>
      </c>
      <c r="B224" s="1" t="n">
        <v>44638</v>
      </c>
      <c r="C224" s="1" t="n">
        <v>46070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63454-2023</t>
        </is>
      </c>
      <c r="B225" s="1" t="n">
        <v>45274.61356481481</v>
      </c>
      <c r="C225" s="1" t="n">
        <v>46070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38858-2021</t>
        </is>
      </c>
      <c r="B226" s="1" t="n">
        <v>44411</v>
      </c>
      <c r="C226" s="1" t="n">
        <v>46070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36964-2025</t>
        </is>
      </c>
      <c r="B227" s="1" t="n">
        <v>45874.63407407407</v>
      </c>
      <c r="C227" s="1" t="n">
        <v>46070</v>
      </c>
      <c r="D227" t="inlineStr">
        <is>
          <t>KALMAR LÄN</t>
        </is>
      </c>
      <c r="E227" t="inlineStr">
        <is>
          <t>MÖNSTERÅS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37298-2025</t>
        </is>
      </c>
      <c r="B228" s="1" t="n">
        <v>45876.57542824074</v>
      </c>
      <c r="C228" s="1" t="n">
        <v>46070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37294-2025</t>
        </is>
      </c>
      <c r="B229" s="1" t="n">
        <v>45876.53809027778</v>
      </c>
      <c r="C229" s="1" t="n">
        <v>46070</v>
      </c>
      <c r="D229" t="inlineStr">
        <is>
          <t>KALMAR LÄN</t>
        </is>
      </c>
      <c r="E229" t="inlineStr">
        <is>
          <t>MÖNSTERÅS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51710-2025</t>
        </is>
      </c>
      <c r="B230" s="1" t="n">
        <v>45950</v>
      </c>
      <c r="C230" s="1" t="n">
        <v>46070</v>
      </c>
      <c r="D230" t="inlineStr">
        <is>
          <t>KALMAR LÄN</t>
        </is>
      </c>
      <c r="E230" t="inlineStr">
        <is>
          <t>MÖNSTERÅS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51729-2025</t>
        </is>
      </c>
      <c r="B231" s="1" t="n">
        <v>45950</v>
      </c>
      <c r="C231" s="1" t="n">
        <v>46070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37582-2025</t>
        </is>
      </c>
      <c r="B232" s="1" t="n">
        <v>45880.39017361111</v>
      </c>
      <c r="C232" s="1" t="n">
        <v>46070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46070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51697-2025</t>
        </is>
      </c>
      <c r="B234" s="1" t="n">
        <v>45950</v>
      </c>
      <c r="C234" s="1" t="n">
        <v>46070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18803-2025</t>
        </is>
      </c>
      <c r="B235" s="1" t="n">
        <v>45764.35086805555</v>
      </c>
      <c r="C235" s="1" t="n">
        <v>46070</v>
      </c>
      <c r="D235" t="inlineStr">
        <is>
          <t>KALMAR LÄN</t>
        </is>
      </c>
      <c r="E235" t="inlineStr">
        <is>
          <t>MÖNSTERÅS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29449-2021</t>
        </is>
      </c>
      <c r="B236" s="1" t="n">
        <v>44361</v>
      </c>
      <c r="C236" s="1" t="n">
        <v>46070</v>
      </c>
      <c r="D236" t="inlineStr">
        <is>
          <t>KALMAR LÄN</t>
        </is>
      </c>
      <c r="E236" t="inlineStr">
        <is>
          <t>MÖNSTERÅS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37413-2024</t>
        </is>
      </c>
      <c r="B237" s="1" t="n">
        <v>45540.6293287037</v>
      </c>
      <c r="C237" s="1" t="n">
        <v>46070</v>
      </c>
      <c r="D237" t="inlineStr">
        <is>
          <t>KALMAR LÄN</t>
        </is>
      </c>
      <c r="E237" t="inlineStr">
        <is>
          <t>MÖNSTERÅS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61874-2022</t>
        </is>
      </c>
      <c r="B238" s="1" t="n">
        <v>44917</v>
      </c>
      <c r="C238" s="1" t="n">
        <v>46070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26279-2023</t>
        </is>
      </c>
      <c r="B239" s="1" t="n">
        <v>45091</v>
      </c>
      <c r="C239" s="1" t="n">
        <v>46070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49498-2021</t>
        </is>
      </c>
      <c r="B240" s="1" t="n">
        <v>44455</v>
      </c>
      <c r="C240" s="1" t="n">
        <v>46070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50071-2022</t>
        </is>
      </c>
      <c r="B241" s="1" t="n">
        <v>44865.48206018518</v>
      </c>
      <c r="C241" s="1" t="n">
        <v>46070</v>
      </c>
      <c r="D241" t="inlineStr">
        <is>
          <t>KALMAR LÄN</t>
        </is>
      </c>
      <c r="E241" t="inlineStr">
        <is>
          <t>MÖNSTERÅS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54014-2025</t>
        </is>
      </c>
      <c r="B242" s="1" t="n">
        <v>45961.62152777778</v>
      </c>
      <c r="C242" s="1" t="n">
        <v>46070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54022-2025</t>
        </is>
      </c>
      <c r="B243" s="1" t="n">
        <v>45961.67008101852</v>
      </c>
      <c r="C243" s="1" t="n">
        <v>46070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54331-2025</t>
        </is>
      </c>
      <c r="B244" s="1" t="n">
        <v>45964</v>
      </c>
      <c r="C244" s="1" t="n">
        <v>46070</v>
      </c>
      <c r="D244" t="inlineStr">
        <is>
          <t>KALMAR LÄN</t>
        </is>
      </c>
      <c r="E244" t="inlineStr">
        <is>
          <t>MÖNSTERÅS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15897-2024</t>
        </is>
      </c>
      <c r="B245" s="1" t="n">
        <v>45405.40068287037</v>
      </c>
      <c r="C245" s="1" t="n">
        <v>46070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54337-2025</t>
        </is>
      </c>
      <c r="B246" s="1" t="n">
        <v>45964</v>
      </c>
      <c r="C246" s="1" t="n">
        <v>46070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56978-2025</t>
        </is>
      </c>
      <c r="B247" s="1" t="n">
        <v>45978.69263888889</v>
      </c>
      <c r="C247" s="1" t="n">
        <v>46070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36269-2023</t>
        </is>
      </c>
      <c r="B248" s="1" t="n">
        <v>45151.96359953703</v>
      </c>
      <c r="C248" s="1" t="n">
        <v>46070</v>
      </c>
      <c r="D248" t="inlineStr">
        <is>
          <t>KALMAR LÄN</t>
        </is>
      </c>
      <c r="E248" t="inlineStr">
        <is>
          <t>MÖNSTERÅS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56975-2025</t>
        </is>
      </c>
      <c r="B249" s="1" t="n">
        <v>45978.69001157407</v>
      </c>
      <c r="C249" s="1" t="n">
        <v>46070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57310-2025</t>
        </is>
      </c>
      <c r="B250" s="1" t="n">
        <v>45979</v>
      </c>
      <c r="C250" s="1" t="n">
        <v>46070</v>
      </c>
      <c r="D250" t="inlineStr">
        <is>
          <t>KALMAR LÄN</t>
        </is>
      </c>
      <c r="E250" t="inlineStr">
        <is>
          <t>MÖNSTERÅS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59540-2024</t>
        </is>
      </c>
      <c r="B251" s="1" t="n">
        <v>45638.61381944444</v>
      </c>
      <c r="C251" s="1" t="n">
        <v>46070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768-2026</t>
        </is>
      </c>
      <c r="B252" s="1" t="n">
        <v>46029.71084490741</v>
      </c>
      <c r="C252" s="1" t="n">
        <v>46070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7637-2023</t>
        </is>
      </c>
      <c r="B253" s="1" t="n">
        <v>44972.57466435185</v>
      </c>
      <c r="C253" s="1" t="n">
        <v>46070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58984-2025</t>
        </is>
      </c>
      <c r="B254" s="1" t="n">
        <v>45987</v>
      </c>
      <c r="C254" s="1" t="n">
        <v>46070</v>
      </c>
      <c r="D254" t="inlineStr">
        <is>
          <t>KALMAR LÄN</t>
        </is>
      </c>
      <c r="E254" t="inlineStr">
        <is>
          <t>MÖNSTERÅS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9132-2026</t>
        </is>
      </c>
      <c r="B255" s="1" t="n">
        <v>46069.74379629629</v>
      </c>
      <c r="C255" s="1" t="n">
        <v>46070</v>
      </c>
      <c r="D255" t="inlineStr">
        <is>
          <t>KALMAR LÄN</t>
        </is>
      </c>
      <c r="E255" t="inlineStr">
        <is>
          <t>MÖNSTERÅS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5639-2022</t>
        </is>
      </c>
      <c r="B256" s="1" t="n">
        <v>44595</v>
      </c>
      <c r="C256" s="1" t="n">
        <v>46070</v>
      </c>
      <c r="D256" t="inlineStr">
        <is>
          <t>KALMAR LÄN</t>
        </is>
      </c>
      <c r="E256" t="inlineStr">
        <is>
          <t>MÖNSTERÅS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58985-2025</t>
        </is>
      </c>
      <c r="B257" s="1" t="n">
        <v>45987</v>
      </c>
      <c r="C257" s="1" t="n">
        <v>46070</v>
      </c>
      <c r="D257" t="inlineStr">
        <is>
          <t>KALMAR LÄN</t>
        </is>
      </c>
      <c r="E257" t="inlineStr">
        <is>
          <t>MÖNSTERÅS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58987-2025</t>
        </is>
      </c>
      <c r="B258" s="1" t="n">
        <v>45987</v>
      </c>
      <c r="C258" s="1" t="n">
        <v>46070</v>
      </c>
      <c r="D258" t="inlineStr">
        <is>
          <t>KALMAR LÄN</t>
        </is>
      </c>
      <c r="E258" t="inlineStr">
        <is>
          <t>MÖNSTERÅS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10934-2023</t>
        </is>
      </c>
      <c r="B259" s="1" t="n">
        <v>44991.52763888889</v>
      </c>
      <c r="C259" s="1" t="n">
        <v>46070</v>
      </c>
      <c r="D259" t="inlineStr">
        <is>
          <t>KALMAR LÄN</t>
        </is>
      </c>
      <c r="E259" t="inlineStr">
        <is>
          <t>MÖNSTERÅS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58980-2025</t>
        </is>
      </c>
      <c r="B260" s="1" t="n">
        <v>45987</v>
      </c>
      <c r="C260" s="1" t="n">
        <v>46070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64106-2023</t>
        </is>
      </c>
      <c r="B261" s="1" t="n">
        <v>45279</v>
      </c>
      <c r="C261" s="1" t="n">
        <v>46070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59309-2022</t>
        </is>
      </c>
      <c r="B262" s="1" t="n">
        <v>44904</v>
      </c>
      <c r="C262" s="1" t="n">
        <v>46070</v>
      </c>
      <c r="D262" t="inlineStr">
        <is>
          <t>KALMAR LÄN</t>
        </is>
      </c>
      <c r="E262" t="inlineStr">
        <is>
          <t>MÖNSTERÅS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59243-2022</t>
        </is>
      </c>
      <c r="B263" s="1" t="n">
        <v>44904</v>
      </c>
      <c r="C263" s="1" t="n">
        <v>46070</v>
      </c>
      <c r="D263" t="inlineStr">
        <is>
          <t>KALMAR LÄN</t>
        </is>
      </c>
      <c r="E263" t="inlineStr">
        <is>
          <t>MÖNSTERÅS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59233-2025</t>
        </is>
      </c>
      <c r="B264" s="1" t="n">
        <v>45988.62892361111</v>
      </c>
      <c r="C264" s="1" t="n">
        <v>46070</v>
      </c>
      <c r="D264" t="inlineStr">
        <is>
          <t>KALMAR LÄN</t>
        </is>
      </c>
      <c r="E264" t="inlineStr">
        <is>
          <t>MÖNSTERÅS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55405-2023</t>
        </is>
      </c>
      <c r="B265" s="1" t="n">
        <v>45238</v>
      </c>
      <c r="C265" s="1" t="n">
        <v>46070</v>
      </c>
      <c r="D265" t="inlineStr">
        <is>
          <t>KALMAR LÄN</t>
        </is>
      </c>
      <c r="E265" t="inlineStr">
        <is>
          <t>MÖNSTERÅS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59602-2025</t>
        </is>
      </c>
      <c r="B266" s="1" t="n">
        <v>45992.3603125</v>
      </c>
      <c r="C266" s="1" t="n">
        <v>46070</v>
      </c>
      <c r="D266" t="inlineStr">
        <is>
          <t>KALMAR LÄN</t>
        </is>
      </c>
      <c r="E266" t="inlineStr">
        <is>
          <t>MÖNSTERÅS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24999-2023</t>
        </is>
      </c>
      <c r="B267" s="1" t="n">
        <v>45085</v>
      </c>
      <c r="C267" s="1" t="n">
        <v>46070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59603-2025</t>
        </is>
      </c>
      <c r="B268" s="1" t="n">
        <v>45992.36092592592</v>
      </c>
      <c r="C268" s="1" t="n">
        <v>46070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59559-2025</t>
        </is>
      </c>
      <c r="B269" s="1" t="n">
        <v>45991</v>
      </c>
      <c r="C269" s="1" t="n">
        <v>46070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21950-2023</t>
        </is>
      </c>
      <c r="B270" s="1" t="n">
        <v>45068.62135416667</v>
      </c>
      <c r="C270" s="1" t="n">
        <v>46070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60228-2025</t>
        </is>
      </c>
      <c r="B271" s="1" t="n">
        <v>45994.5534375</v>
      </c>
      <c r="C271" s="1" t="n">
        <v>46070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60201-2025</t>
        </is>
      </c>
      <c r="B272" s="1" t="n">
        <v>45994</v>
      </c>
      <c r="C272" s="1" t="n">
        <v>46070</v>
      </c>
      <c r="D272" t="inlineStr">
        <is>
          <t>KALMAR LÄN</t>
        </is>
      </c>
      <c r="E272" t="inlineStr">
        <is>
          <t>MÖNSTERÅS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49658-2024</t>
        </is>
      </c>
      <c r="B273" s="1" t="n">
        <v>45596.63148148148</v>
      </c>
      <c r="C273" s="1" t="n">
        <v>46070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4946-2024</t>
        </is>
      </c>
      <c r="B274" s="1" t="n">
        <v>45329</v>
      </c>
      <c r="C274" s="1" t="n">
        <v>46070</v>
      </c>
      <c r="D274" t="inlineStr">
        <is>
          <t>KALMAR LÄN</t>
        </is>
      </c>
      <c r="E274" t="inlineStr">
        <is>
          <t>MÖNSTERÅS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5235-2024</t>
        </is>
      </c>
      <c r="B275" s="1" t="n">
        <v>45330.82181712963</v>
      </c>
      <c r="C275" s="1" t="n">
        <v>46070</v>
      </c>
      <c r="D275" t="inlineStr">
        <is>
          <t>KALMAR LÄN</t>
        </is>
      </c>
      <c r="E275" t="inlineStr">
        <is>
          <t>MÖNSTERÅS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57964-2024</t>
        </is>
      </c>
      <c r="B276" s="1" t="n">
        <v>45631.59407407408</v>
      </c>
      <c r="C276" s="1" t="n">
        <v>46070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3780-2026</t>
        </is>
      </c>
      <c r="B277" s="1" t="n">
        <v>46043.56958333333</v>
      </c>
      <c r="C277" s="1" t="n">
        <v>46070</v>
      </c>
      <c r="D277" t="inlineStr">
        <is>
          <t>KALMAR LÄN</t>
        </is>
      </c>
      <c r="E277" t="inlineStr">
        <is>
          <t>MÖNSTERÅS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3789-2026</t>
        </is>
      </c>
      <c r="B278" s="1" t="n">
        <v>46043.57333333333</v>
      </c>
      <c r="C278" s="1" t="n">
        <v>46070</v>
      </c>
      <c r="D278" t="inlineStr">
        <is>
          <t>KALMAR LÄN</t>
        </is>
      </c>
      <c r="E278" t="inlineStr">
        <is>
          <t>MÖNSTERÅS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61018-2025</t>
        </is>
      </c>
      <c r="B279" s="1" t="n">
        <v>45999.85106481481</v>
      </c>
      <c r="C279" s="1" t="n">
        <v>46070</v>
      </c>
      <c r="D279" t="inlineStr">
        <is>
          <t>KALMAR LÄN</t>
        </is>
      </c>
      <c r="E279" t="inlineStr">
        <is>
          <t>MÖNSTERÅS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3853-2026</t>
        </is>
      </c>
      <c r="B280" s="1" t="n">
        <v>46043.60792824074</v>
      </c>
      <c r="C280" s="1" t="n">
        <v>46070</v>
      </c>
      <c r="D280" t="inlineStr">
        <is>
          <t>KALMAR LÄN</t>
        </is>
      </c>
      <c r="E280" t="inlineStr">
        <is>
          <t>MÖNSTERÅS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15067-2024</t>
        </is>
      </c>
      <c r="B281" s="1" t="n">
        <v>45399.58237268519</v>
      </c>
      <c r="C281" s="1" t="n">
        <v>46070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61016-2025</t>
        </is>
      </c>
      <c r="B282" s="1" t="n">
        <v>45999.84604166666</v>
      </c>
      <c r="C282" s="1" t="n">
        <v>46070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61017-2025</t>
        </is>
      </c>
      <c r="B283" s="1" t="n">
        <v>45999.84915509259</v>
      </c>
      <c r="C283" s="1" t="n">
        <v>46070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23.7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61019-2025</t>
        </is>
      </c>
      <c r="B284" s="1" t="n">
        <v>45999.85559027778</v>
      </c>
      <c r="C284" s="1" t="n">
        <v>46070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6223-2022</t>
        </is>
      </c>
      <c r="B285" s="1" t="n">
        <v>44600</v>
      </c>
      <c r="C285" s="1" t="n">
        <v>46070</v>
      </c>
      <c r="D285" t="inlineStr">
        <is>
          <t>KALMAR LÄN</t>
        </is>
      </c>
      <c r="E285" t="inlineStr">
        <is>
          <t>MÖNSTERÅS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61469-2025</t>
        </is>
      </c>
      <c r="B286" s="1" t="n">
        <v>46001.60682870371</v>
      </c>
      <c r="C286" s="1" t="n">
        <v>46070</v>
      </c>
      <c r="D286" t="inlineStr">
        <is>
          <t>KALMAR LÄN</t>
        </is>
      </c>
      <c r="E286" t="inlineStr">
        <is>
          <t>MÖNSTERÅS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46070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46070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46070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46070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46070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46070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46070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46070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46070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46070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46070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46070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46070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46070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46070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46070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46070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46070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46070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46070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46070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46070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46070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46070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46070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46070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46070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46070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46070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46070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46070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46070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46070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46070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46070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46070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46070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46070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46070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46070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46070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46070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46070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46070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46070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46070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46070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46070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46070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46070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46070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46070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46070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46070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46070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46070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46070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46070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46070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46070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46070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46070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46070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46070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46070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46070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46070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46070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46070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46070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46070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46070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46070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46070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46070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46070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46070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46070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46070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46070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46070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46070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46070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46070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46070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46070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46070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45504-2023</t>
        </is>
      </c>
      <c r="B374" s="1" t="n">
        <v>45188</v>
      </c>
      <c r="C374" s="1" t="n">
        <v>46070</v>
      </c>
      <c r="D374" t="inlineStr">
        <is>
          <t>KALMAR LÄN</t>
        </is>
      </c>
      <c r="E374" t="inlineStr">
        <is>
          <t>MÖNSTERÅS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27077-2022</t>
        </is>
      </c>
      <c r="B375" s="1" t="n">
        <v>44741.40471064814</v>
      </c>
      <c r="C375" s="1" t="n">
        <v>46070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36361-2023</t>
        </is>
      </c>
      <c r="B376" s="1" t="n">
        <v>45152</v>
      </c>
      <c r="C376" s="1" t="n">
        <v>46070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3759-2024</t>
        </is>
      </c>
      <c r="B377" s="1" t="n">
        <v>45321.55706018519</v>
      </c>
      <c r="C377" s="1" t="n">
        <v>46070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59159-2023</t>
        </is>
      </c>
      <c r="B378" s="1" t="n">
        <v>45251</v>
      </c>
      <c r="C378" s="1" t="n">
        <v>46070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62280-2022</t>
        </is>
      </c>
      <c r="B379" s="1" t="n">
        <v>44923</v>
      </c>
      <c r="C379" s="1" t="n">
        <v>46070</v>
      </c>
      <c r="D379" t="inlineStr">
        <is>
          <t>KALMAR LÄN</t>
        </is>
      </c>
      <c r="E379" t="inlineStr">
        <is>
          <t>MÖNSTERÅS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1889-2023</t>
        </is>
      </c>
      <c r="B380" s="1" t="n">
        <v>44939</v>
      </c>
      <c r="C380" s="1" t="n">
        <v>46070</v>
      </c>
      <c r="D380" t="inlineStr">
        <is>
          <t>KALMAR LÄN</t>
        </is>
      </c>
      <c r="E380" t="inlineStr">
        <is>
          <t>MÖNSTERÅS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4104-2024</t>
        </is>
      </c>
      <c r="B381" s="1" t="n">
        <v>45323.6571875</v>
      </c>
      <c r="C381" s="1" t="n">
        <v>46070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26701-2022</t>
        </is>
      </c>
      <c r="B382" s="1" t="n">
        <v>44739</v>
      </c>
      <c r="C382" s="1" t="n">
        <v>46070</v>
      </c>
      <c r="D382" t="inlineStr">
        <is>
          <t>KALMAR LÄN</t>
        </is>
      </c>
      <c r="E382" t="inlineStr">
        <is>
          <t>MÖNSTERÅS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50914-2023</t>
        </is>
      </c>
      <c r="B383" s="1" t="n">
        <v>45218</v>
      </c>
      <c r="C383" s="1" t="n">
        <v>46070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36900-2024</t>
        </is>
      </c>
      <c r="B384" s="1" t="n">
        <v>45538.62778935185</v>
      </c>
      <c r="C384" s="1" t="n">
        <v>46070</v>
      </c>
      <c r="D384" t="inlineStr">
        <is>
          <t>KALMAR LÄN</t>
        </is>
      </c>
      <c r="E384" t="inlineStr">
        <is>
          <t>MÖNSTERÅS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40991-2024</t>
        </is>
      </c>
      <c r="B385" s="1" t="n">
        <v>45558.7166087963</v>
      </c>
      <c r="C385" s="1" t="n">
        <v>46070</v>
      </c>
      <c r="D385" t="inlineStr">
        <is>
          <t>KALMAR LÄN</t>
        </is>
      </c>
      <c r="E385" t="inlineStr">
        <is>
          <t>MÖNSTERÅS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51804-2022</t>
        </is>
      </c>
      <c r="B386" s="1" t="n">
        <v>44872</v>
      </c>
      <c r="C386" s="1" t="n">
        <v>46070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61009-2024</t>
        </is>
      </c>
      <c r="B387" s="1" t="n">
        <v>45645.44524305555</v>
      </c>
      <c r="C387" s="1" t="n">
        <v>46070</v>
      </c>
      <c r="D387" t="inlineStr">
        <is>
          <t>KALMAR LÄN</t>
        </is>
      </c>
      <c r="E387" t="inlineStr">
        <is>
          <t>MÖNSTERÅS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31754-2023</t>
        </is>
      </c>
      <c r="B388" s="1" t="n">
        <v>45106</v>
      </c>
      <c r="C388" s="1" t="n">
        <v>46070</v>
      </c>
      <c r="D388" t="inlineStr">
        <is>
          <t>KALMAR LÄN</t>
        </is>
      </c>
      <c r="E388" t="inlineStr">
        <is>
          <t>MÖNSTERÅS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29957-2022</t>
        </is>
      </c>
      <c r="B389" s="1" t="n">
        <v>44756.64633101852</v>
      </c>
      <c r="C389" s="1" t="n">
        <v>46070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19023-2025</t>
        </is>
      </c>
      <c r="B390" s="1" t="n">
        <v>45764.62177083334</v>
      </c>
      <c r="C390" s="1" t="n">
        <v>46070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35135-2023</t>
        </is>
      </c>
      <c r="B391" s="1" t="n">
        <v>45145.52805555556</v>
      </c>
      <c r="C391" s="1" t="n">
        <v>46070</v>
      </c>
      <c r="D391" t="inlineStr">
        <is>
          <t>KALMAR LÄN</t>
        </is>
      </c>
      <c r="E391" t="inlineStr">
        <is>
          <t>MÖNSTERÅS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762-2023</t>
        </is>
      </c>
      <c r="B392" s="1" t="n">
        <v>44931</v>
      </c>
      <c r="C392" s="1" t="n">
        <v>46070</v>
      </c>
      <c r="D392" t="inlineStr">
        <is>
          <t>KALMAR LÄN</t>
        </is>
      </c>
      <c r="E392" t="inlineStr">
        <is>
          <t>MÖNSTERÅS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36372-2023</t>
        </is>
      </c>
      <c r="B393" s="1" t="n">
        <v>45152.50440972222</v>
      </c>
      <c r="C393" s="1" t="n">
        <v>46070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16437-2023</t>
        </is>
      </c>
      <c r="B394" s="1" t="n">
        <v>45022</v>
      </c>
      <c r="C394" s="1" t="n">
        <v>46070</v>
      </c>
      <c r="D394" t="inlineStr">
        <is>
          <t>KALMAR LÄN</t>
        </is>
      </c>
      <c r="E394" t="inlineStr">
        <is>
          <t>MÖNSTERÅS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13047-2022</t>
        </is>
      </c>
      <c r="B395" s="1" t="n">
        <v>44643</v>
      </c>
      <c r="C395" s="1" t="n">
        <v>46070</v>
      </c>
      <c r="D395" t="inlineStr">
        <is>
          <t>KALMAR LÄN</t>
        </is>
      </c>
      <c r="E395" t="inlineStr">
        <is>
          <t>MÖNSTERÅS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55576-2023</t>
        </is>
      </c>
      <c r="B396" s="1" t="n">
        <v>45238</v>
      </c>
      <c r="C396" s="1" t="n">
        <v>46070</v>
      </c>
      <c r="D396" t="inlineStr">
        <is>
          <t>KALMAR LÄN</t>
        </is>
      </c>
      <c r="E396" t="inlineStr">
        <is>
          <t>MÖNSTERÅS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19947-2023</t>
        </is>
      </c>
      <c r="B397" s="1" t="n">
        <v>45054.52478009259</v>
      </c>
      <c r="C397" s="1" t="n">
        <v>46070</v>
      </c>
      <c r="D397" t="inlineStr">
        <is>
          <t>KALMAR LÄN</t>
        </is>
      </c>
      <c r="E397" t="inlineStr">
        <is>
          <t>MÖNSTERÅS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44322-2023</t>
        </is>
      </c>
      <c r="B398" s="1" t="n">
        <v>45188</v>
      </c>
      <c r="C398" s="1" t="n">
        <v>46070</v>
      </c>
      <c r="D398" t="inlineStr">
        <is>
          <t>KALMAR LÄN</t>
        </is>
      </c>
      <c r="E398" t="inlineStr">
        <is>
          <t>MÖNSTERÅS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19280-2025</t>
        </is>
      </c>
      <c r="B399" s="1" t="n">
        <v>45769.54015046296</v>
      </c>
      <c r="C399" s="1" t="n">
        <v>46070</v>
      </c>
      <c r="D399" t="inlineStr">
        <is>
          <t>KALMAR LÄN</t>
        </is>
      </c>
      <c r="E399" t="inlineStr">
        <is>
          <t>MÖNSTERÅS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15598-2025</t>
        </is>
      </c>
      <c r="B400" s="1" t="n">
        <v>45747.92075231481</v>
      </c>
      <c r="C400" s="1" t="n">
        <v>46070</v>
      </c>
      <c r="D400" t="inlineStr">
        <is>
          <t>KALMAR LÄN</t>
        </is>
      </c>
      <c r="E400" t="inlineStr">
        <is>
          <t>MÖNSTERÅS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4780-2024</t>
        </is>
      </c>
      <c r="B401" s="1" t="n">
        <v>45328</v>
      </c>
      <c r="C401" s="1" t="n">
        <v>46070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61198-2022</t>
        </is>
      </c>
      <c r="B402" s="1" t="n">
        <v>44915</v>
      </c>
      <c r="C402" s="1" t="n">
        <v>46070</v>
      </c>
      <c r="D402" t="inlineStr">
        <is>
          <t>KALMAR LÄN</t>
        </is>
      </c>
      <c r="E402" t="inlineStr">
        <is>
          <t>MÖNSTERÅS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14924-2023</t>
        </is>
      </c>
      <c r="B403" s="1" t="n">
        <v>45015</v>
      </c>
      <c r="C403" s="1" t="n">
        <v>46070</v>
      </c>
      <c r="D403" t="inlineStr">
        <is>
          <t>KALMAR LÄN</t>
        </is>
      </c>
      <c r="E403" t="inlineStr">
        <is>
          <t>MÖNSTERÅS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20201-2024</t>
        </is>
      </c>
      <c r="B404" s="1" t="n">
        <v>45434.65105324074</v>
      </c>
      <c r="C404" s="1" t="n">
        <v>46070</v>
      </c>
      <c r="D404" t="inlineStr">
        <is>
          <t>KALMAR LÄN</t>
        </is>
      </c>
      <c r="E404" t="inlineStr">
        <is>
          <t>MÖNSTERÅS</t>
        </is>
      </c>
      <c r="F404" t="inlineStr">
        <is>
          <t>Kommuner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HYPERLINK("https://klasma.github.io/Logging_0861/knärot/A 20201-2024 karta knärot.png", "A 20201-2024")</f>
        <v/>
      </c>
      <c r="V404">
        <f>HYPERLINK("https://klasma.github.io/Logging_0861/klagomål/A 20201-2024 FSC-klagomål.docx", "A 20201-2024")</f>
        <v/>
      </c>
      <c r="W404">
        <f>HYPERLINK("https://klasma.github.io/Logging_0861/klagomålsmail/A 20201-2024 FSC-klagomål mail.docx", "A 20201-2024")</f>
        <v/>
      </c>
      <c r="X404">
        <f>HYPERLINK("https://klasma.github.io/Logging_0861/tillsyn/A 20201-2024 tillsynsbegäran.docx", "A 20201-2024")</f>
        <v/>
      </c>
      <c r="Y404">
        <f>HYPERLINK("https://klasma.github.io/Logging_0861/tillsynsmail/A 20201-2024 tillsynsbegäran mail.docx", "A 20201-2024")</f>
        <v/>
      </c>
    </row>
    <row r="405" ht="15" customHeight="1">
      <c r="A405" t="inlineStr">
        <is>
          <t>A 20645-2025</t>
        </is>
      </c>
      <c r="B405" s="1" t="n">
        <v>45776</v>
      </c>
      <c r="C405" s="1" t="n">
        <v>46070</v>
      </c>
      <c r="D405" t="inlineStr">
        <is>
          <t>KALMAR LÄN</t>
        </is>
      </c>
      <c r="E405" t="inlineStr">
        <is>
          <t>MÖNSTERÅS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9367-2025</t>
        </is>
      </c>
      <c r="B406" s="1" t="n">
        <v>45715.32221064815</v>
      </c>
      <c r="C406" s="1" t="n">
        <v>46070</v>
      </c>
      <c r="D406" t="inlineStr">
        <is>
          <t>KALMAR LÄN</t>
        </is>
      </c>
      <c r="E406" t="inlineStr">
        <is>
          <t>MÖNSTERÅS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1653-2025</t>
        </is>
      </c>
      <c r="B407" s="1" t="n">
        <v>45670.65835648148</v>
      </c>
      <c r="C407" s="1" t="n">
        <v>46070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8632-2025</t>
        </is>
      </c>
      <c r="B408" s="1" t="n">
        <v>45711.74442129629</v>
      </c>
      <c r="C408" s="1" t="n">
        <v>46070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26061-2023</t>
        </is>
      </c>
      <c r="B409" s="1" t="n">
        <v>45091</v>
      </c>
      <c r="C409" s="1" t="n">
        <v>46070</v>
      </c>
      <c r="D409" t="inlineStr">
        <is>
          <t>KALMAR LÄN</t>
        </is>
      </c>
      <c r="E409" t="inlineStr">
        <is>
          <t>MÖNSTERÅS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41581-2024</t>
        </is>
      </c>
      <c r="B410" s="1" t="n">
        <v>45560.55587962963</v>
      </c>
      <c r="C410" s="1" t="n">
        <v>46070</v>
      </c>
      <c r="D410" t="inlineStr">
        <is>
          <t>KALMAR LÄN</t>
        </is>
      </c>
      <c r="E410" t="inlineStr">
        <is>
          <t>MÖNSTERÅS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61749-2024</t>
        </is>
      </c>
      <c r="B411" s="1" t="n">
        <v>45649.39033564815</v>
      </c>
      <c r="C411" s="1" t="n">
        <v>46070</v>
      </c>
      <c r="D411" t="inlineStr">
        <is>
          <t>KALMAR LÄN</t>
        </is>
      </c>
      <c r="E411" t="inlineStr">
        <is>
          <t>MÖNSTERÅS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36607-2024</t>
        </is>
      </c>
      <c r="B412" s="1" t="n">
        <v>45537.57107638889</v>
      </c>
      <c r="C412" s="1" t="n">
        <v>46070</v>
      </c>
      <c r="D412" t="inlineStr">
        <is>
          <t>KALMAR LÄN</t>
        </is>
      </c>
      <c r="E412" t="inlineStr">
        <is>
          <t>MÖNSTERÅS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9215-2025</t>
        </is>
      </c>
      <c r="B413" s="1" t="n">
        <v>45714.51229166667</v>
      </c>
      <c r="C413" s="1" t="n">
        <v>46070</v>
      </c>
      <c r="D413" t="inlineStr">
        <is>
          <t>KALMAR LÄN</t>
        </is>
      </c>
      <c r="E413" t="inlineStr">
        <is>
          <t>MÖNSTERÅS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2026-02-17T11:40:31Z</dcterms:created>
  <dcterms:modified xmlns:dcterms="http://purl.org/dc/terms/" xmlns:xsi="http://www.w3.org/2001/XMLSchema-instance" xsi:type="dcterms:W3CDTF">2026-02-17T11:40:32Z</dcterms:modified>
</cp:coreProperties>
</file>
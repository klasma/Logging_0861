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45924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45924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45924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45924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45924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45924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45924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45924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45924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45924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45924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45924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45924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45924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45924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45924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45924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45924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45924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45924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45924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45924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45924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45924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45924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45924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45924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45924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45924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45924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45924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45924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45924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45924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45924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45924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45924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45924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41879-2022</t>
        </is>
      </c>
      <c r="B44" s="1" t="n">
        <v>44827</v>
      </c>
      <c r="C44" s="1" t="n">
        <v>45924</v>
      </c>
      <c r="D44" t="inlineStr">
        <is>
          <t>KALMAR LÄN</t>
        </is>
      </c>
      <c r="E44" t="inlineStr">
        <is>
          <t>MÖNSTERÅS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Brunag</t>
        </is>
      </c>
      <c r="S44">
        <f>HYPERLINK("https://klasma.github.io/Logging_0861/artfynd/A 41879-2022 artfynd.xlsx", "A 41879-2022")</f>
        <v/>
      </c>
      <c r="T44">
        <f>HYPERLINK("https://klasma.github.io/Logging_0861/kartor/A 41879-2022 karta.png", "A 41879-2022")</f>
        <v/>
      </c>
      <c r="V44">
        <f>HYPERLINK("https://klasma.github.io/Logging_0861/klagomål/A 41879-2022 FSC-klagomål.docx", "A 41879-2022")</f>
        <v/>
      </c>
      <c r="W44">
        <f>HYPERLINK("https://klasma.github.io/Logging_0861/klagomålsmail/A 41879-2022 FSC-klagomål mail.docx", "A 41879-2022")</f>
        <v/>
      </c>
      <c r="X44">
        <f>HYPERLINK("https://klasma.github.io/Logging_0861/tillsyn/A 41879-2022 tillsynsbegäran.docx", "A 41879-2022")</f>
        <v/>
      </c>
      <c r="Y44">
        <f>HYPERLINK("https://klasma.github.io/Logging_0861/tillsynsmail/A 41879-2022 tillsynsbegäran mail.docx", "A 41879-2022")</f>
        <v/>
      </c>
    </row>
    <row r="45" ht="15" customHeight="1">
      <c r="A45" t="inlineStr">
        <is>
          <t>A 31170-2021</t>
        </is>
      </c>
      <c r="B45" s="1" t="n">
        <v>44368</v>
      </c>
      <c r="C45" s="1" t="n">
        <v>45924</v>
      </c>
      <c r="D45" t="inlineStr">
        <is>
          <t>KALMAR LÄN</t>
        </is>
      </c>
      <c r="E45" t="inlineStr">
        <is>
          <t>MÖNSTERÅS</t>
        </is>
      </c>
      <c r="G45" t="n">
        <v>20.1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31170-2021 artfynd.xlsx", "A 31170-2021")</f>
        <v/>
      </c>
      <c r="T45">
        <f>HYPERLINK("https://klasma.github.io/Logging_0861/kartor/A 31170-2021 karta.png", "A 31170-2021")</f>
        <v/>
      </c>
      <c r="U45">
        <f>HYPERLINK("https://klasma.github.io/Logging_0861/knärot/A 31170-2021 karta knärot.png", "A 31170-2021")</f>
        <v/>
      </c>
      <c r="V45">
        <f>HYPERLINK("https://klasma.github.io/Logging_0861/klagomål/A 31170-2021 FSC-klagomål.docx", "A 31170-2021")</f>
        <v/>
      </c>
      <c r="W45">
        <f>HYPERLINK("https://klasma.github.io/Logging_0861/klagomålsmail/A 31170-2021 FSC-klagomål mail.docx", "A 31170-2021")</f>
        <v/>
      </c>
      <c r="X45">
        <f>HYPERLINK("https://klasma.github.io/Logging_0861/tillsyn/A 31170-2021 tillsynsbegäran.docx", "A 31170-2021")</f>
        <v/>
      </c>
      <c r="Y45">
        <f>HYPERLINK("https://klasma.github.io/Logging_0861/tillsynsmail/A 31170-2021 tillsynsbegäran mail.docx", "A 31170-2021")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45924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36886-2024</t>
        </is>
      </c>
      <c r="B47" s="1" t="n">
        <v>45538.60297453704</v>
      </c>
      <c r="C47" s="1" t="n">
        <v>45924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36886-2024 artfynd.xlsx", "A 36886-2024")</f>
        <v/>
      </c>
      <c r="T47">
        <f>HYPERLINK("https://klasma.github.io/Logging_0861/kartor/A 36886-2024 karta.png", "A 36886-2024")</f>
        <v/>
      </c>
      <c r="V47">
        <f>HYPERLINK("https://klasma.github.io/Logging_0861/klagomål/A 36886-2024 FSC-klagomål.docx", "A 36886-2024")</f>
        <v/>
      </c>
      <c r="W47">
        <f>HYPERLINK("https://klasma.github.io/Logging_0861/klagomålsmail/A 36886-2024 FSC-klagomål mail.docx", "A 36886-2024")</f>
        <v/>
      </c>
      <c r="X47">
        <f>HYPERLINK("https://klasma.github.io/Logging_0861/tillsyn/A 36886-2024 tillsynsbegäran.docx", "A 36886-2024")</f>
        <v/>
      </c>
      <c r="Y47">
        <f>HYPERLINK("https://klasma.github.io/Logging_0861/tillsynsmail/A 36886-2024 tillsynsbegäran mail.docx", "A 36886-2024")</f>
        <v/>
      </c>
    </row>
    <row r="48" ht="15" customHeight="1">
      <c r="A48" t="inlineStr">
        <is>
          <t>A 25218-2023</t>
        </is>
      </c>
      <c r="B48" s="1" t="n">
        <v>45086</v>
      </c>
      <c r="C48" s="1" t="n">
        <v>45924</v>
      </c>
      <c r="D48" t="inlineStr">
        <is>
          <t>KALMAR LÄN</t>
        </is>
      </c>
      <c r="E48" t="inlineStr">
        <is>
          <t>MÖNSTERÅS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HYPERLINK("https://klasma.github.io/Logging_0861/artfynd/A 25218-2023 artfynd.xlsx", "A 25218-2023")</f>
        <v/>
      </c>
      <c r="T48">
        <f>HYPERLINK("https://klasma.github.io/Logging_0861/kartor/A 25218-2023 karta.png", "A 25218-2023")</f>
        <v/>
      </c>
      <c r="V48">
        <f>HYPERLINK("https://klasma.github.io/Logging_0861/klagomål/A 25218-2023 FSC-klagomål.docx", "A 25218-2023")</f>
        <v/>
      </c>
      <c r="W48">
        <f>HYPERLINK("https://klasma.github.io/Logging_0861/klagomålsmail/A 25218-2023 FSC-klagomål mail.docx", "A 25218-2023")</f>
        <v/>
      </c>
      <c r="X48">
        <f>HYPERLINK("https://klasma.github.io/Logging_0861/tillsyn/A 25218-2023 tillsynsbegäran.docx", "A 25218-2023")</f>
        <v/>
      </c>
      <c r="Y48">
        <f>HYPERLINK("https://klasma.github.io/Logging_0861/tillsynsmail/A 25218-2023 tillsynsbegäran mail.docx", "A 25218-2023")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45924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45924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45924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45924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45924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45924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45924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25231-2023</t>
        </is>
      </c>
      <c r="B56" s="1" t="n">
        <v>45086</v>
      </c>
      <c r="C56" s="1" t="n">
        <v>45924</v>
      </c>
      <c r="D56" t="inlineStr">
        <is>
          <t>KALMAR LÄN</t>
        </is>
      </c>
      <c r="E56" t="inlineStr">
        <is>
          <t>MÖNSTERÅS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25231-2023 artfynd.xlsx", "A 25231-2023")</f>
        <v/>
      </c>
      <c r="T56">
        <f>HYPERLINK("https://klasma.github.io/Logging_0861/kartor/A 25231-2023 karta.png", "A 25231-2023")</f>
        <v/>
      </c>
      <c r="V56">
        <f>HYPERLINK("https://klasma.github.io/Logging_0861/klagomål/A 25231-2023 FSC-klagomål.docx", "A 25231-2023")</f>
        <v/>
      </c>
      <c r="W56">
        <f>HYPERLINK("https://klasma.github.io/Logging_0861/klagomålsmail/A 25231-2023 FSC-klagomål mail.docx", "A 25231-2023")</f>
        <v/>
      </c>
      <c r="X56">
        <f>HYPERLINK("https://klasma.github.io/Logging_0861/tillsyn/A 25231-2023 tillsynsbegäran.docx", "A 25231-2023")</f>
        <v/>
      </c>
      <c r="Y56">
        <f>HYPERLINK("https://klasma.github.io/Logging_0861/tillsynsmail/A 25231-2023 tillsynsbegäran mail.docx", "A 25231-2023")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45924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61490-2024</t>
        </is>
      </c>
      <c r="B58" s="1" t="n">
        <v>45646.54944444444</v>
      </c>
      <c r="C58" s="1" t="n">
        <v>45924</v>
      </c>
      <c r="D58" t="inlineStr">
        <is>
          <t>KALMAR LÄN</t>
        </is>
      </c>
      <c r="E58" t="inlineStr">
        <is>
          <t>MÖNSTERÅS</t>
        </is>
      </c>
      <c r="F58" t="inlineStr">
        <is>
          <t>Kommuner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Taggbock</t>
        </is>
      </c>
      <c r="S58">
        <f>HYPERLINK("https://klasma.github.io/Logging_0861/artfynd/A 61490-2024 artfynd.xlsx", "A 61490-2024")</f>
        <v/>
      </c>
      <c r="T58">
        <f>HYPERLINK("https://klasma.github.io/Logging_0861/kartor/A 61490-2024 karta.png", "A 61490-2024")</f>
        <v/>
      </c>
      <c r="V58">
        <f>HYPERLINK("https://klasma.github.io/Logging_0861/klagomål/A 61490-2024 FSC-klagomål.docx", "A 61490-2024")</f>
        <v/>
      </c>
      <c r="W58">
        <f>HYPERLINK("https://klasma.github.io/Logging_0861/klagomålsmail/A 61490-2024 FSC-klagomål mail.docx", "A 61490-2024")</f>
        <v/>
      </c>
      <c r="X58">
        <f>HYPERLINK("https://klasma.github.io/Logging_0861/tillsyn/A 61490-2024 tillsynsbegäran.docx", "A 61490-2024")</f>
        <v/>
      </c>
      <c r="Y58">
        <f>HYPERLINK("https://klasma.github.io/Logging_0861/tillsynsmail/A 61490-2024 tillsynsbegäran mail.docx", "A 61490-2024")</f>
        <v/>
      </c>
    </row>
    <row r="59" ht="15" customHeight="1">
      <c r="A59" t="inlineStr">
        <is>
          <t>A 11262-2021</t>
        </is>
      </c>
      <c r="B59" s="1" t="n">
        <v>44260</v>
      </c>
      <c r="C59" s="1" t="n">
        <v>45924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45924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45924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45924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45924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45924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42139-2021</t>
        </is>
      </c>
      <c r="B65" s="1" t="n">
        <v>44426</v>
      </c>
      <c r="C65" s="1" t="n">
        <v>45924</v>
      </c>
      <c r="D65" t="inlineStr">
        <is>
          <t>KALMAR LÄN</t>
        </is>
      </c>
      <c r="E65" t="inlineStr">
        <is>
          <t>MÖNSTERÅS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45924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45924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45924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45924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45924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45924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45924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45924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45924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45924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45924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45924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45924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45924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45924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45924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45924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45924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45924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47486-2020</t>
        </is>
      </c>
      <c r="B85" s="1" t="n">
        <v>44098</v>
      </c>
      <c r="C85" s="1" t="n">
        <v>45924</v>
      </c>
      <c r="D85" t="inlineStr">
        <is>
          <t>KALMAR LÄN</t>
        </is>
      </c>
      <c r="E85" t="inlineStr">
        <is>
          <t>MÖNSTERÅS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45924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45924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45924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45924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45924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45924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45924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45924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45924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45924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45924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45924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45924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3731-2021</t>
        </is>
      </c>
      <c r="B99" s="1" t="n">
        <v>44221</v>
      </c>
      <c r="C99" s="1" t="n">
        <v>45924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45924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29461-2021</t>
        </is>
      </c>
      <c r="B101" s="1" t="n">
        <v>44361</v>
      </c>
      <c r="C101" s="1" t="n">
        <v>45924</v>
      </c>
      <c r="D101" t="inlineStr">
        <is>
          <t>KALMAR LÄN</t>
        </is>
      </c>
      <c r="E101" t="inlineStr">
        <is>
          <t>MÖNSTERÅS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45924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58772-2021</t>
        </is>
      </c>
      <c r="B103" s="1" t="n">
        <v>44489</v>
      </c>
      <c r="C103" s="1" t="n">
        <v>45924</v>
      </c>
      <c r="D103" t="inlineStr">
        <is>
          <t>KALMAR LÄN</t>
        </is>
      </c>
      <c r="E103" t="inlineStr">
        <is>
          <t>MÖNSTERÅS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45924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1448-2022</t>
        </is>
      </c>
      <c r="B105" s="1" t="n">
        <v>44573</v>
      </c>
      <c r="C105" s="1" t="n">
        <v>45924</v>
      </c>
      <c r="D105" t="inlineStr">
        <is>
          <t>KALMAR LÄN</t>
        </is>
      </c>
      <c r="E105" t="inlineStr">
        <is>
          <t>MÖNSTERÅS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57439-2020</t>
        </is>
      </c>
      <c r="B106" s="1" t="n">
        <v>44140</v>
      </c>
      <c r="C106" s="1" t="n">
        <v>45924</v>
      </c>
      <c r="D106" t="inlineStr">
        <is>
          <t>KALMAR LÄN</t>
        </is>
      </c>
      <c r="E106" t="inlineStr">
        <is>
          <t>MÖNSTERÅS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52642-2022</t>
        </is>
      </c>
      <c r="B107" s="1" t="n">
        <v>44874.77633101852</v>
      </c>
      <c r="C107" s="1" t="n">
        <v>45924</v>
      </c>
      <c r="D107" t="inlineStr">
        <is>
          <t>KALMAR LÄN</t>
        </is>
      </c>
      <c r="E107" t="inlineStr">
        <is>
          <t>MÖNSTERÅS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68241-2020</t>
        </is>
      </c>
      <c r="B108" s="1" t="n">
        <v>44183</v>
      </c>
      <c r="C108" s="1" t="n">
        <v>45924</v>
      </c>
      <c r="D108" t="inlineStr">
        <is>
          <t>KALMAR LÄN</t>
        </is>
      </c>
      <c r="E108" t="inlineStr">
        <is>
          <t>MÖNSTERÅS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45924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53135-2020</t>
        </is>
      </c>
      <c r="B110" s="1" t="n">
        <v>44120</v>
      </c>
      <c r="C110" s="1" t="n">
        <v>45924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64525-2021</t>
        </is>
      </c>
      <c r="B111" s="1" t="n">
        <v>44511.6225462963</v>
      </c>
      <c r="C111" s="1" t="n">
        <v>45924</v>
      </c>
      <c r="D111" t="inlineStr">
        <is>
          <t>KALMAR LÄN</t>
        </is>
      </c>
      <c r="E111" t="inlineStr">
        <is>
          <t>MÖNSTERÅS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66212-2021</t>
        </is>
      </c>
      <c r="B112" s="1" t="n">
        <v>44518</v>
      </c>
      <c r="C112" s="1" t="n">
        <v>45924</v>
      </c>
      <c r="D112" t="inlineStr">
        <is>
          <t>KALMAR LÄN</t>
        </is>
      </c>
      <c r="E112" t="inlineStr">
        <is>
          <t>MÖNSTERÅS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45924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45924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45924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40242-2022</t>
        </is>
      </c>
      <c r="B116" s="1" t="n">
        <v>44820</v>
      </c>
      <c r="C116" s="1" t="n">
        <v>45924</v>
      </c>
      <c r="D116" t="inlineStr">
        <is>
          <t>KALMAR LÄN</t>
        </is>
      </c>
      <c r="E116" t="inlineStr">
        <is>
          <t>MÖNSTERÅS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70594-2021</t>
        </is>
      </c>
      <c r="B117" s="1" t="n">
        <v>44537</v>
      </c>
      <c r="C117" s="1" t="n">
        <v>45924</v>
      </c>
      <c r="D117" t="inlineStr">
        <is>
          <t>KALMAR LÄN</t>
        </is>
      </c>
      <c r="E117" t="inlineStr">
        <is>
          <t>MÖNSTERÅS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2542-2021</t>
        </is>
      </c>
      <c r="B118" s="1" t="n">
        <v>44214</v>
      </c>
      <c r="C118" s="1" t="n">
        <v>45924</v>
      </c>
      <c r="D118" t="inlineStr">
        <is>
          <t>KALMAR LÄN</t>
        </is>
      </c>
      <c r="E118" t="inlineStr">
        <is>
          <t>MÖNSTERÅS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7238-2022</t>
        </is>
      </c>
      <c r="B119" s="1" t="n">
        <v>44606</v>
      </c>
      <c r="C119" s="1" t="n">
        <v>45924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12896-2022</t>
        </is>
      </c>
      <c r="B120" s="1" t="n">
        <v>44642</v>
      </c>
      <c r="C120" s="1" t="n">
        <v>45924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57199-2020</t>
        </is>
      </c>
      <c r="B121" s="1" t="n">
        <v>44139</v>
      </c>
      <c r="C121" s="1" t="n">
        <v>45924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62078-2020</t>
        </is>
      </c>
      <c r="B122" s="1" t="n">
        <v>44159</v>
      </c>
      <c r="C122" s="1" t="n">
        <v>45924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34721-2021</t>
        </is>
      </c>
      <c r="B123" s="1" t="n">
        <v>44382</v>
      </c>
      <c r="C123" s="1" t="n">
        <v>45924</v>
      </c>
      <c r="D123" t="inlineStr">
        <is>
          <t>KALMAR LÄN</t>
        </is>
      </c>
      <c r="E123" t="inlineStr">
        <is>
          <t>MÖNSTERÅS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13743-2022</t>
        </is>
      </c>
      <c r="B124" s="1" t="n">
        <v>44649</v>
      </c>
      <c r="C124" s="1" t="n">
        <v>45924</v>
      </c>
      <c r="D124" t="inlineStr">
        <is>
          <t>KALMAR LÄN</t>
        </is>
      </c>
      <c r="E124" t="inlineStr">
        <is>
          <t>MÖNSTERÅS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52646-2022</t>
        </is>
      </c>
      <c r="B125" s="1" t="n">
        <v>44874.78201388889</v>
      </c>
      <c r="C125" s="1" t="n">
        <v>45924</v>
      </c>
      <c r="D125" t="inlineStr">
        <is>
          <t>KALMAR LÄN</t>
        </is>
      </c>
      <c r="E125" t="inlineStr">
        <is>
          <t>MÖNSTERÅS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50054-2022</t>
        </is>
      </c>
      <c r="B126" s="1" t="n">
        <v>44865.47458333334</v>
      </c>
      <c r="C126" s="1" t="n">
        <v>45924</v>
      </c>
      <c r="D126" t="inlineStr">
        <is>
          <t>KALMAR LÄN</t>
        </is>
      </c>
      <c r="E126" t="inlineStr">
        <is>
          <t>MÖNSTERÅS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51532-2022</t>
        </is>
      </c>
      <c r="B127" s="1" t="n">
        <v>44869.80046296296</v>
      </c>
      <c r="C127" s="1" t="n">
        <v>45924</v>
      </c>
      <c r="D127" t="inlineStr">
        <is>
          <t>KALMAR LÄN</t>
        </is>
      </c>
      <c r="E127" t="inlineStr">
        <is>
          <t>MÖNSTERÅS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9863-2021</t>
        </is>
      </c>
      <c r="B128" s="1" t="n">
        <v>44253</v>
      </c>
      <c r="C128" s="1" t="n">
        <v>45924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10108-2022</t>
        </is>
      </c>
      <c r="B129" s="1" t="n">
        <v>44621</v>
      </c>
      <c r="C129" s="1" t="n">
        <v>45924</v>
      </c>
      <c r="D129" t="inlineStr">
        <is>
          <t>KALMAR LÄN</t>
        </is>
      </c>
      <c r="E129" t="inlineStr">
        <is>
          <t>MÖNSTERÅS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45924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66046-2021</t>
        </is>
      </c>
      <c r="B131" s="1" t="n">
        <v>44517</v>
      </c>
      <c r="C131" s="1" t="n">
        <v>45924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66796-2021</t>
        </is>
      </c>
      <c r="B132" s="1" t="n">
        <v>44519</v>
      </c>
      <c r="C132" s="1" t="n">
        <v>45924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24743-2022</t>
        </is>
      </c>
      <c r="B133" s="1" t="n">
        <v>44727</v>
      </c>
      <c r="C133" s="1" t="n">
        <v>45924</v>
      </c>
      <c r="D133" t="inlineStr">
        <is>
          <t>KALMAR LÄN</t>
        </is>
      </c>
      <c r="E133" t="inlineStr">
        <is>
          <t>MÖNSTERÅS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23720-2022</t>
        </is>
      </c>
      <c r="B134" s="1" t="n">
        <v>44722</v>
      </c>
      <c r="C134" s="1" t="n">
        <v>45924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24716-2022</t>
        </is>
      </c>
      <c r="B135" s="1" t="n">
        <v>44727</v>
      </c>
      <c r="C135" s="1" t="n">
        <v>45924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6223-2022</t>
        </is>
      </c>
      <c r="B136" s="1" t="n">
        <v>44600</v>
      </c>
      <c r="C136" s="1" t="n">
        <v>45924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5596-2022</t>
        </is>
      </c>
      <c r="B137" s="1" t="n">
        <v>44595</v>
      </c>
      <c r="C137" s="1" t="n">
        <v>45924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54488-2022</t>
        </is>
      </c>
      <c r="B138" s="1" t="n">
        <v>44882.67111111111</v>
      </c>
      <c r="C138" s="1" t="n">
        <v>45924</v>
      </c>
      <c r="D138" t="inlineStr">
        <is>
          <t>KALMAR LÄN</t>
        </is>
      </c>
      <c r="E138" t="inlineStr">
        <is>
          <t>MÖNSTERÅS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63471-2023</t>
        </is>
      </c>
      <c r="B139" s="1" t="n">
        <v>45274.63337962963</v>
      </c>
      <c r="C139" s="1" t="n">
        <v>45924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47485-2020</t>
        </is>
      </c>
      <c r="B140" s="1" t="n">
        <v>44098</v>
      </c>
      <c r="C140" s="1" t="n">
        <v>45924</v>
      </c>
      <c r="D140" t="inlineStr">
        <is>
          <t>KALMAR LÄN</t>
        </is>
      </c>
      <c r="E140" t="inlineStr">
        <is>
          <t>MÖNSTERÅS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24488-2024</t>
        </is>
      </c>
      <c r="B141" s="1" t="n">
        <v>45459.67179398148</v>
      </c>
      <c r="C141" s="1" t="n">
        <v>45924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50352-2023</t>
        </is>
      </c>
      <c r="B142" s="1" t="n">
        <v>45216</v>
      </c>
      <c r="C142" s="1" t="n">
        <v>45924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54746-2020</t>
        </is>
      </c>
      <c r="B143" s="1" t="n">
        <v>44127</v>
      </c>
      <c r="C143" s="1" t="n">
        <v>45924</v>
      </c>
      <c r="D143" t="inlineStr">
        <is>
          <t>KALMAR LÄN</t>
        </is>
      </c>
      <c r="E143" t="inlineStr">
        <is>
          <t>MÖNSTERÅS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36364-2023</t>
        </is>
      </c>
      <c r="B144" s="1" t="n">
        <v>45152</v>
      </c>
      <c r="C144" s="1" t="n">
        <v>45924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38245-2023</t>
        </is>
      </c>
      <c r="B145" s="1" t="n">
        <v>45161</v>
      </c>
      <c r="C145" s="1" t="n">
        <v>45924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59298-2022</t>
        </is>
      </c>
      <c r="B146" s="1" t="n">
        <v>44904</v>
      </c>
      <c r="C146" s="1" t="n">
        <v>45924</v>
      </c>
      <c r="D146" t="inlineStr">
        <is>
          <t>KALMAR LÄN</t>
        </is>
      </c>
      <c r="E146" t="inlineStr">
        <is>
          <t>MÖNSTERÅS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2713-2024</t>
        </is>
      </c>
      <c r="B147" s="1" t="n">
        <v>45314</v>
      </c>
      <c r="C147" s="1" t="n">
        <v>45924</v>
      </c>
      <c r="D147" t="inlineStr">
        <is>
          <t>KALMAR LÄN</t>
        </is>
      </c>
      <c r="E147" t="inlineStr">
        <is>
          <t>MÖNSTERÅS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17753-2023</t>
        </is>
      </c>
      <c r="B148" s="1" t="n">
        <v>45037</v>
      </c>
      <c r="C148" s="1" t="n">
        <v>45924</v>
      </c>
      <c r="D148" t="inlineStr">
        <is>
          <t>KALMAR LÄN</t>
        </is>
      </c>
      <c r="E148" t="inlineStr">
        <is>
          <t>MÖNSTERÅS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55369-2020</t>
        </is>
      </c>
      <c r="B149" s="1" t="n">
        <v>44131</v>
      </c>
      <c r="C149" s="1" t="n">
        <v>45924</v>
      </c>
      <c r="D149" t="inlineStr">
        <is>
          <t>KALMAR LÄN</t>
        </is>
      </c>
      <c r="E149" t="inlineStr">
        <is>
          <t>MÖNSTERÅS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53502-2022</t>
        </is>
      </c>
      <c r="B150" s="1" t="n">
        <v>44879</v>
      </c>
      <c r="C150" s="1" t="n">
        <v>45924</v>
      </c>
      <c r="D150" t="inlineStr">
        <is>
          <t>KALMAR LÄN</t>
        </is>
      </c>
      <c r="E150" t="inlineStr">
        <is>
          <t>MÖNSTERÅS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8981-2025</t>
        </is>
      </c>
      <c r="B151" s="1" t="n">
        <v>45713.53284722222</v>
      </c>
      <c r="C151" s="1" t="n">
        <v>45924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33658-2023</t>
        </is>
      </c>
      <c r="B152" s="1" t="n">
        <v>45132</v>
      </c>
      <c r="C152" s="1" t="n">
        <v>45924</v>
      </c>
      <c r="D152" t="inlineStr">
        <is>
          <t>KALMAR LÄN</t>
        </is>
      </c>
      <c r="E152" t="inlineStr">
        <is>
          <t>MÖNSTERÅS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45689-2021</t>
        </is>
      </c>
      <c r="B153" s="1" t="n">
        <v>44441</v>
      </c>
      <c r="C153" s="1" t="n">
        <v>45924</v>
      </c>
      <c r="D153" t="inlineStr">
        <is>
          <t>KALMAR LÄN</t>
        </is>
      </c>
      <c r="E153" t="inlineStr">
        <is>
          <t>MÖNSTERÅS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34079-2022</t>
        </is>
      </c>
      <c r="B154" s="1" t="n">
        <v>44791</v>
      </c>
      <c r="C154" s="1" t="n">
        <v>45924</v>
      </c>
      <c r="D154" t="inlineStr">
        <is>
          <t>KALMAR LÄN</t>
        </is>
      </c>
      <c r="E154" t="inlineStr">
        <is>
          <t>MÖNSTERÅS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32034-2021</t>
        </is>
      </c>
      <c r="B155" s="1" t="n">
        <v>44370</v>
      </c>
      <c r="C155" s="1" t="n">
        <v>45924</v>
      </c>
      <c r="D155" t="inlineStr">
        <is>
          <t>KALMAR LÄN</t>
        </is>
      </c>
      <c r="E155" t="inlineStr">
        <is>
          <t>MÖNSTERÅS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49892-2024</t>
        </is>
      </c>
      <c r="B156" s="1" t="n">
        <v>45597.52</v>
      </c>
      <c r="C156" s="1" t="n">
        <v>45924</v>
      </c>
      <c r="D156" t="inlineStr">
        <is>
          <t>KALMAR LÄN</t>
        </is>
      </c>
      <c r="E156" t="inlineStr">
        <is>
          <t>MÖNSTERÅS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10388-2023</t>
        </is>
      </c>
      <c r="B157" s="1" t="n">
        <v>44981</v>
      </c>
      <c r="C157" s="1" t="n">
        <v>45924</v>
      </c>
      <c r="D157" t="inlineStr">
        <is>
          <t>KALMAR LÄN</t>
        </is>
      </c>
      <c r="E157" t="inlineStr">
        <is>
          <t>MÖNSTERÅS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63047-2023</t>
        </is>
      </c>
      <c r="B158" s="1" t="n">
        <v>45272</v>
      </c>
      <c r="C158" s="1" t="n">
        <v>45924</v>
      </c>
      <c r="D158" t="inlineStr">
        <is>
          <t>KALMAR LÄN</t>
        </is>
      </c>
      <c r="E158" t="inlineStr">
        <is>
          <t>MÖNSTERÅS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23788-2021</t>
        </is>
      </c>
      <c r="B159" s="1" t="n">
        <v>44335</v>
      </c>
      <c r="C159" s="1" t="n">
        <v>45924</v>
      </c>
      <c r="D159" t="inlineStr">
        <is>
          <t>KALMAR LÄN</t>
        </is>
      </c>
      <c r="E159" t="inlineStr">
        <is>
          <t>MÖNSTERÅS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43583-2023</t>
        </is>
      </c>
      <c r="B160" s="1" t="n">
        <v>45184</v>
      </c>
      <c r="C160" s="1" t="n">
        <v>45924</v>
      </c>
      <c r="D160" t="inlineStr">
        <is>
          <t>KALMAR LÄN</t>
        </is>
      </c>
      <c r="E160" t="inlineStr">
        <is>
          <t>MÖNSTERÅS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17123-2023</t>
        </is>
      </c>
      <c r="B161" s="1" t="n">
        <v>45034</v>
      </c>
      <c r="C161" s="1" t="n">
        <v>45924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2671-2024</t>
        </is>
      </c>
      <c r="B162" s="1" t="n">
        <v>45314</v>
      </c>
      <c r="C162" s="1" t="n">
        <v>45924</v>
      </c>
      <c r="D162" t="inlineStr">
        <is>
          <t>KALMAR LÄN</t>
        </is>
      </c>
      <c r="E162" t="inlineStr">
        <is>
          <t>MÖNSTERÅS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9974-2022</t>
        </is>
      </c>
      <c r="B163" s="1" t="n">
        <v>44621.39148148148</v>
      </c>
      <c r="C163" s="1" t="n">
        <v>45924</v>
      </c>
      <c r="D163" t="inlineStr">
        <is>
          <t>KALMAR LÄN</t>
        </is>
      </c>
      <c r="E163" t="inlineStr">
        <is>
          <t>MÖNSTERÅS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31757-2023</t>
        </is>
      </c>
      <c r="B164" s="1" t="n">
        <v>45106</v>
      </c>
      <c r="C164" s="1" t="n">
        <v>45924</v>
      </c>
      <c r="D164" t="inlineStr">
        <is>
          <t>KALMAR LÄN</t>
        </is>
      </c>
      <c r="E164" t="inlineStr">
        <is>
          <t>MÖNSTERÅS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4474-2025</t>
        </is>
      </c>
      <c r="B165" s="1" t="n">
        <v>45686.62033564815</v>
      </c>
      <c r="C165" s="1" t="n">
        <v>45924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26494-2023</t>
        </is>
      </c>
      <c r="B166" s="1" t="n">
        <v>45092</v>
      </c>
      <c r="C166" s="1" t="n">
        <v>45924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6934-2025</t>
        </is>
      </c>
      <c r="B167" s="1" t="n">
        <v>45701.45549768519</v>
      </c>
      <c r="C167" s="1" t="n">
        <v>45924</v>
      </c>
      <c r="D167" t="inlineStr">
        <is>
          <t>KALMAR LÄN</t>
        </is>
      </c>
      <c r="E167" t="inlineStr">
        <is>
          <t>MÖNSTERÅS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25299-2025</t>
        </is>
      </c>
      <c r="B168" s="1" t="n">
        <v>45800.57025462963</v>
      </c>
      <c r="C168" s="1" t="n">
        <v>45924</v>
      </c>
      <c r="D168" t="inlineStr">
        <is>
          <t>KALMAR LÄN</t>
        </is>
      </c>
      <c r="E168" t="inlineStr">
        <is>
          <t>MÖNSTERÅS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9545-2024</t>
        </is>
      </c>
      <c r="B169" s="1" t="n">
        <v>45359</v>
      </c>
      <c r="C169" s="1" t="n">
        <v>45924</v>
      </c>
      <c r="D169" t="inlineStr">
        <is>
          <t>KALMAR LÄN</t>
        </is>
      </c>
      <c r="E169" t="inlineStr">
        <is>
          <t>MÖNSTERÅS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4981-2022</t>
        </is>
      </c>
      <c r="B170" s="1" t="n">
        <v>44593</v>
      </c>
      <c r="C170" s="1" t="n">
        <v>45924</v>
      </c>
      <c r="D170" t="inlineStr">
        <is>
          <t>KALMAR LÄN</t>
        </is>
      </c>
      <c r="E170" t="inlineStr">
        <is>
          <t>MÖNSTERÅS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16324-2023</t>
        </is>
      </c>
      <c r="B171" s="1" t="n">
        <v>45028</v>
      </c>
      <c r="C171" s="1" t="n">
        <v>45924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37235-2024</t>
        </is>
      </c>
      <c r="B172" s="1" t="n">
        <v>45540.31905092593</v>
      </c>
      <c r="C172" s="1" t="n">
        <v>45924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26171-2025</t>
        </is>
      </c>
      <c r="B173" s="1" t="n">
        <v>45805</v>
      </c>
      <c r="C173" s="1" t="n">
        <v>45924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36644-2024</t>
        </is>
      </c>
      <c r="B174" s="1" t="n">
        <v>45537.60454861111</v>
      </c>
      <c r="C174" s="1" t="n">
        <v>45924</v>
      </c>
      <c r="D174" t="inlineStr">
        <is>
          <t>KALMAR LÄN</t>
        </is>
      </c>
      <c r="E174" t="inlineStr">
        <is>
          <t>MÖNSTERÅS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26162-2025</t>
        </is>
      </c>
      <c r="B175" s="1" t="n">
        <v>45805.44922453703</v>
      </c>
      <c r="C175" s="1" t="n">
        <v>45924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26145-2025</t>
        </is>
      </c>
      <c r="B176" s="1" t="n">
        <v>45805.42946759259</v>
      </c>
      <c r="C176" s="1" t="n">
        <v>45924</v>
      </c>
      <c r="D176" t="inlineStr">
        <is>
          <t>KALMAR LÄN</t>
        </is>
      </c>
      <c r="E176" t="inlineStr">
        <is>
          <t>MÖNSTERÅS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58894-2023</t>
        </is>
      </c>
      <c r="B177" s="1" t="n">
        <v>45250</v>
      </c>
      <c r="C177" s="1" t="n">
        <v>45924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26157-2025</t>
        </is>
      </c>
      <c r="B178" s="1" t="n">
        <v>45805.43984953704</v>
      </c>
      <c r="C178" s="1" t="n">
        <v>45924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35805-2022</t>
        </is>
      </c>
      <c r="B179" s="1" t="n">
        <v>44802.30116898148</v>
      </c>
      <c r="C179" s="1" t="n">
        <v>45924</v>
      </c>
      <c r="D179" t="inlineStr">
        <is>
          <t>KALMAR LÄN</t>
        </is>
      </c>
      <c r="E179" t="inlineStr">
        <is>
          <t>MÖNSTERÅS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10104-2022</t>
        </is>
      </c>
      <c r="B180" s="1" t="n">
        <v>44621.78886574074</v>
      </c>
      <c r="C180" s="1" t="n">
        <v>45924</v>
      </c>
      <c r="D180" t="inlineStr">
        <is>
          <t>KALMAR LÄN</t>
        </is>
      </c>
      <c r="E180" t="inlineStr">
        <is>
          <t>MÖNSTERÅS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70644-2021</t>
        </is>
      </c>
      <c r="B181" s="1" t="n">
        <v>44537.49385416666</v>
      </c>
      <c r="C181" s="1" t="n">
        <v>45924</v>
      </c>
      <c r="D181" t="inlineStr">
        <is>
          <t>KALMAR LÄN</t>
        </is>
      </c>
      <c r="E181" t="inlineStr">
        <is>
          <t>MÖNSTERÅS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1973-2023</t>
        </is>
      </c>
      <c r="B182" s="1" t="n">
        <v>44939</v>
      </c>
      <c r="C182" s="1" t="n">
        <v>45924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31384-2023</t>
        </is>
      </c>
      <c r="B183" s="1" t="n">
        <v>45114</v>
      </c>
      <c r="C183" s="1" t="n">
        <v>45924</v>
      </c>
      <c r="D183" t="inlineStr">
        <is>
          <t>KALMAR LÄN</t>
        </is>
      </c>
      <c r="E183" t="inlineStr">
        <is>
          <t>MÖNSTERÅS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37419-2024</t>
        </is>
      </c>
      <c r="B184" s="1" t="n">
        <v>45540.63810185185</v>
      </c>
      <c r="C184" s="1" t="n">
        <v>45924</v>
      </c>
      <c r="D184" t="inlineStr">
        <is>
          <t>KALMAR LÄN</t>
        </is>
      </c>
      <c r="E184" t="inlineStr">
        <is>
          <t>MÖNSTERÅS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4368-2021</t>
        </is>
      </c>
      <c r="B185" s="1" t="n">
        <v>44223</v>
      </c>
      <c r="C185" s="1" t="n">
        <v>45924</v>
      </c>
      <c r="D185" t="inlineStr">
        <is>
          <t>KALMAR LÄN</t>
        </is>
      </c>
      <c r="E185" t="inlineStr">
        <is>
          <t>MÖNSTERÅS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42941-2023</t>
        </is>
      </c>
      <c r="B186" s="1" t="n">
        <v>45182.57427083333</v>
      </c>
      <c r="C186" s="1" t="n">
        <v>45924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43746-2024</t>
        </is>
      </c>
      <c r="B187" s="1" t="n">
        <v>45569</v>
      </c>
      <c r="C187" s="1" t="n">
        <v>45924</v>
      </c>
      <c r="D187" t="inlineStr">
        <is>
          <t>KALMAR LÄN</t>
        </is>
      </c>
      <c r="E187" t="inlineStr">
        <is>
          <t>MÖNSTERÅS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20498-2023</t>
        </is>
      </c>
      <c r="B188" s="1" t="n">
        <v>45057</v>
      </c>
      <c r="C188" s="1" t="n">
        <v>45924</v>
      </c>
      <c r="D188" t="inlineStr">
        <is>
          <t>KALMAR LÄN</t>
        </is>
      </c>
      <c r="E188" t="inlineStr">
        <is>
          <t>MÖNSTERÅS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25165-2023</t>
        </is>
      </c>
      <c r="B189" s="1" t="n">
        <v>45086</v>
      </c>
      <c r="C189" s="1" t="n">
        <v>45924</v>
      </c>
      <c r="D189" t="inlineStr">
        <is>
          <t>KALMAR LÄN</t>
        </is>
      </c>
      <c r="E189" t="inlineStr">
        <is>
          <t>MÖNSTERÅS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63816-2023</t>
        </is>
      </c>
      <c r="B190" s="1" t="n">
        <v>45278.43667824074</v>
      </c>
      <c r="C190" s="1" t="n">
        <v>45924</v>
      </c>
      <c r="D190" t="inlineStr">
        <is>
          <t>KALMAR LÄN</t>
        </is>
      </c>
      <c r="E190" t="inlineStr">
        <is>
          <t>MÖNSTERÅS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32171-2021</t>
        </is>
      </c>
      <c r="B191" s="1" t="n">
        <v>44371</v>
      </c>
      <c r="C191" s="1" t="n">
        <v>45924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36873-2024</t>
        </is>
      </c>
      <c r="B192" s="1" t="n">
        <v>45538.59396990741</v>
      </c>
      <c r="C192" s="1" t="n">
        <v>45924</v>
      </c>
      <c r="D192" t="inlineStr">
        <is>
          <t>KALMAR LÄN</t>
        </is>
      </c>
      <c r="E192" t="inlineStr">
        <is>
          <t>MÖNSTERÅS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39860-2024</t>
        </is>
      </c>
      <c r="B193" s="1" t="n">
        <v>45553.44331018518</v>
      </c>
      <c r="C193" s="1" t="n">
        <v>45924</v>
      </c>
      <c r="D193" t="inlineStr">
        <is>
          <t>KALMAR LÄN</t>
        </is>
      </c>
      <c r="E193" t="inlineStr">
        <is>
          <t>MÖNSTERÅS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37233-2024</t>
        </is>
      </c>
      <c r="B194" s="1" t="n">
        <v>45540.31068287037</v>
      </c>
      <c r="C194" s="1" t="n">
        <v>45924</v>
      </c>
      <c r="D194" t="inlineStr">
        <is>
          <t>KALMAR LÄN</t>
        </is>
      </c>
      <c r="E194" t="inlineStr">
        <is>
          <t>MÖNSTERÅS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37237-2024</t>
        </is>
      </c>
      <c r="B195" s="1" t="n">
        <v>45540.33099537037</v>
      </c>
      <c r="C195" s="1" t="n">
        <v>45924</v>
      </c>
      <c r="D195" t="inlineStr">
        <is>
          <t>KALMAR LÄN</t>
        </is>
      </c>
      <c r="E195" t="inlineStr">
        <is>
          <t>MÖNSTERÅS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37180-2024</t>
        </is>
      </c>
      <c r="B196" s="1" t="n">
        <v>45539.64475694444</v>
      </c>
      <c r="C196" s="1" t="n">
        <v>45924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37239-2024</t>
        </is>
      </c>
      <c r="B197" s="1" t="n">
        <v>45540.34068287037</v>
      </c>
      <c r="C197" s="1" t="n">
        <v>45924</v>
      </c>
      <c r="D197" t="inlineStr">
        <is>
          <t>KALMAR LÄN</t>
        </is>
      </c>
      <c r="E197" t="inlineStr">
        <is>
          <t>MÖNSTERÅS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37245-2024</t>
        </is>
      </c>
      <c r="B198" s="1" t="n">
        <v>45540.34633101852</v>
      </c>
      <c r="C198" s="1" t="n">
        <v>45924</v>
      </c>
      <c r="D198" t="inlineStr">
        <is>
          <t>KALMAR LÄN</t>
        </is>
      </c>
      <c r="E198" t="inlineStr">
        <is>
          <t>MÖNSTERÅS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15719-2024</t>
        </is>
      </c>
      <c r="B199" s="1" t="n">
        <v>45404.50043981482</v>
      </c>
      <c r="C199" s="1" t="n">
        <v>45924</v>
      </c>
      <c r="D199" t="inlineStr">
        <is>
          <t>KALMAR LÄN</t>
        </is>
      </c>
      <c r="E199" t="inlineStr">
        <is>
          <t>MÖNSTERÅS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14906-2023</t>
        </is>
      </c>
      <c r="B200" s="1" t="n">
        <v>45015</v>
      </c>
      <c r="C200" s="1" t="n">
        <v>45924</v>
      </c>
      <c r="D200" t="inlineStr">
        <is>
          <t>KALMAR LÄN</t>
        </is>
      </c>
      <c r="E200" t="inlineStr">
        <is>
          <t>MÖNSTERÅS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40241-2022</t>
        </is>
      </c>
      <c r="B201" s="1" t="n">
        <v>44820</v>
      </c>
      <c r="C201" s="1" t="n">
        <v>45924</v>
      </c>
      <c r="D201" t="inlineStr">
        <is>
          <t>KALMAR LÄN</t>
        </is>
      </c>
      <c r="E201" t="inlineStr">
        <is>
          <t>MÖNSTERÅS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45924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36286-2022</t>
        </is>
      </c>
      <c r="B203" s="1" t="n">
        <v>44803.62930555556</v>
      </c>
      <c r="C203" s="1" t="n">
        <v>45924</v>
      </c>
      <c r="D203" t="inlineStr">
        <is>
          <t>KALMAR LÄN</t>
        </is>
      </c>
      <c r="E203" t="inlineStr">
        <is>
          <t>MÖNSTERÅS</t>
        </is>
      </c>
      <c r="F203" t="inlineStr">
        <is>
          <t>Övriga Aktiebolag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62276-2022</t>
        </is>
      </c>
      <c r="B204" s="1" t="n">
        <v>44923</v>
      </c>
      <c r="C204" s="1" t="n">
        <v>45924</v>
      </c>
      <c r="D204" t="inlineStr">
        <is>
          <t>KALMAR LÄN</t>
        </is>
      </c>
      <c r="E204" t="inlineStr">
        <is>
          <t>MÖNSTERÅS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28699-2025</t>
        </is>
      </c>
      <c r="B205" s="1" t="n">
        <v>45819.94459490741</v>
      </c>
      <c r="C205" s="1" t="n">
        <v>45924</v>
      </c>
      <c r="D205" t="inlineStr">
        <is>
          <t>KALMAR LÄN</t>
        </is>
      </c>
      <c r="E205" t="inlineStr">
        <is>
          <t>MÖNSTERÅS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37094-2022</t>
        </is>
      </c>
      <c r="B206" s="1" t="n">
        <v>44806</v>
      </c>
      <c r="C206" s="1" t="n">
        <v>45924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59802-2024</t>
        </is>
      </c>
      <c r="B207" s="1" t="n">
        <v>45639.59788194444</v>
      </c>
      <c r="C207" s="1" t="n">
        <v>45924</v>
      </c>
      <c r="D207" t="inlineStr">
        <is>
          <t>KALMAR LÄN</t>
        </is>
      </c>
      <c r="E207" t="inlineStr">
        <is>
          <t>MÖNSTERÅS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52649-2022</t>
        </is>
      </c>
      <c r="B208" s="1" t="n">
        <v>44874.7847337963</v>
      </c>
      <c r="C208" s="1" t="n">
        <v>45924</v>
      </c>
      <c r="D208" t="inlineStr">
        <is>
          <t>KALMAR LÄN</t>
        </is>
      </c>
      <c r="E208" t="inlineStr">
        <is>
          <t>MÖNSTERÅS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50298-2023</t>
        </is>
      </c>
      <c r="B209" s="1" t="n">
        <v>45209</v>
      </c>
      <c r="C209" s="1" t="n">
        <v>45924</v>
      </c>
      <c r="D209" t="inlineStr">
        <is>
          <t>KALMAR LÄN</t>
        </is>
      </c>
      <c r="E209" t="inlineStr">
        <is>
          <t>MÖNSTERÅS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10398-2023</t>
        </is>
      </c>
      <c r="B210" s="1" t="n">
        <v>44981</v>
      </c>
      <c r="C210" s="1" t="n">
        <v>45924</v>
      </c>
      <c r="D210" t="inlineStr">
        <is>
          <t>KALMAR LÄN</t>
        </is>
      </c>
      <c r="E210" t="inlineStr">
        <is>
          <t>MÖNSTERÅS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30574-2025</t>
        </is>
      </c>
      <c r="B211" s="1" t="n">
        <v>45831.41077546297</v>
      </c>
      <c r="C211" s="1" t="n">
        <v>45924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31015-2023</t>
        </is>
      </c>
      <c r="B212" s="1" t="n">
        <v>45113</v>
      </c>
      <c r="C212" s="1" t="n">
        <v>45924</v>
      </c>
      <c r="D212" t="inlineStr">
        <is>
          <t>KALMAR LÄN</t>
        </is>
      </c>
      <c r="E212" t="inlineStr">
        <is>
          <t>MÖNSTERÅS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43431-2024</t>
        </is>
      </c>
      <c r="B213" s="1" t="n">
        <v>45568.64324074074</v>
      </c>
      <c r="C213" s="1" t="n">
        <v>45924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30565-2025</t>
        </is>
      </c>
      <c r="B214" s="1" t="n">
        <v>45831.40432870371</v>
      </c>
      <c r="C214" s="1" t="n">
        <v>45924</v>
      </c>
      <c r="D214" t="inlineStr">
        <is>
          <t>KALMAR LÄN</t>
        </is>
      </c>
      <c r="E214" t="inlineStr">
        <is>
          <t>MÖNSTERÅS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14610-2023</t>
        </is>
      </c>
      <c r="B215" s="1" t="n">
        <v>45013.63350694445</v>
      </c>
      <c r="C215" s="1" t="n">
        <v>45924</v>
      </c>
      <c r="D215" t="inlineStr">
        <is>
          <t>KALMAR LÄN</t>
        </is>
      </c>
      <c r="E215" t="inlineStr">
        <is>
          <t>MÖNSTERÅS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18843-2025</t>
        </is>
      </c>
      <c r="B216" s="1" t="n">
        <v>45764.40966435185</v>
      </c>
      <c r="C216" s="1" t="n">
        <v>45924</v>
      </c>
      <c r="D216" t="inlineStr">
        <is>
          <t>KALMAR LÄN</t>
        </is>
      </c>
      <c r="E216" t="inlineStr">
        <is>
          <t>MÖNSTERÅS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57763-2022</t>
        </is>
      </c>
      <c r="B217" s="1" t="n">
        <v>44897.59982638889</v>
      </c>
      <c r="C217" s="1" t="n">
        <v>45924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31016-2025</t>
        </is>
      </c>
      <c r="B218" s="1" t="n">
        <v>45832.51099537037</v>
      </c>
      <c r="C218" s="1" t="n">
        <v>45924</v>
      </c>
      <c r="D218" t="inlineStr">
        <is>
          <t>KALMAR LÄN</t>
        </is>
      </c>
      <c r="E218" t="inlineStr">
        <is>
          <t>MÖNSTERÅS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31373-2025</t>
        </is>
      </c>
      <c r="B219" s="1" t="n">
        <v>45833.44520833333</v>
      </c>
      <c r="C219" s="1" t="n">
        <v>45924</v>
      </c>
      <c r="D219" t="inlineStr">
        <is>
          <t>KALMAR LÄN</t>
        </is>
      </c>
      <c r="E219" t="inlineStr">
        <is>
          <t>MÖNSTERÅS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9050-2023</t>
        </is>
      </c>
      <c r="B220" s="1" t="n">
        <v>44979.68982638889</v>
      </c>
      <c r="C220" s="1" t="n">
        <v>45924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21567-2024</t>
        </is>
      </c>
      <c r="B221" s="1" t="n">
        <v>45441</v>
      </c>
      <c r="C221" s="1" t="n">
        <v>45924</v>
      </c>
      <c r="D221" t="inlineStr">
        <is>
          <t>KALMAR LÄN</t>
        </is>
      </c>
      <c r="E221" t="inlineStr">
        <is>
          <t>MÖNSTERÅS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24984-2023</t>
        </is>
      </c>
      <c r="B222" s="1" t="n">
        <v>45085</v>
      </c>
      <c r="C222" s="1" t="n">
        <v>45924</v>
      </c>
      <c r="D222" t="inlineStr">
        <is>
          <t>KALMAR LÄN</t>
        </is>
      </c>
      <c r="E222" t="inlineStr">
        <is>
          <t>MÖNSTERÅS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31671-2025</t>
        </is>
      </c>
      <c r="B223" s="1" t="n">
        <v>45834.36774305555</v>
      </c>
      <c r="C223" s="1" t="n">
        <v>45924</v>
      </c>
      <c r="D223" t="inlineStr">
        <is>
          <t>KALMAR LÄN</t>
        </is>
      </c>
      <c r="E223" t="inlineStr">
        <is>
          <t>MÖNSTERÅS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35883-2022</t>
        </is>
      </c>
      <c r="B224" s="1" t="n">
        <v>44802</v>
      </c>
      <c r="C224" s="1" t="n">
        <v>45924</v>
      </c>
      <c r="D224" t="inlineStr">
        <is>
          <t>KALMAR LÄN</t>
        </is>
      </c>
      <c r="E224" t="inlineStr">
        <is>
          <t>MÖNSTERÅS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64514-2021</t>
        </is>
      </c>
      <c r="B225" s="1" t="n">
        <v>44511</v>
      </c>
      <c r="C225" s="1" t="n">
        <v>45924</v>
      </c>
      <c r="D225" t="inlineStr">
        <is>
          <t>KALMAR LÄN</t>
        </is>
      </c>
      <c r="E225" t="inlineStr">
        <is>
          <t>MÖNSTERÅS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32754-2025</t>
        </is>
      </c>
      <c r="B226" s="1" t="n">
        <v>45839.43167824074</v>
      </c>
      <c r="C226" s="1" t="n">
        <v>45924</v>
      </c>
      <c r="D226" t="inlineStr">
        <is>
          <t>KALMAR LÄN</t>
        </is>
      </c>
      <c r="E226" t="inlineStr">
        <is>
          <t>MÖNSTERÅS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36619-2024</t>
        </is>
      </c>
      <c r="B227" s="1" t="n">
        <v>45537.5820949074</v>
      </c>
      <c r="C227" s="1" t="n">
        <v>45924</v>
      </c>
      <c r="D227" t="inlineStr">
        <is>
          <t>KALMAR LÄN</t>
        </is>
      </c>
      <c r="E227" t="inlineStr">
        <is>
          <t>MÖNSTERÅS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33111-2025</t>
        </is>
      </c>
      <c r="B228" s="1" t="n">
        <v>45840.48699074074</v>
      </c>
      <c r="C228" s="1" t="n">
        <v>45924</v>
      </c>
      <c r="D228" t="inlineStr">
        <is>
          <t>KALMAR LÄN</t>
        </is>
      </c>
      <c r="E228" t="inlineStr">
        <is>
          <t>MÖNSTERÅS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36890-2024</t>
        </is>
      </c>
      <c r="B229" s="1" t="n">
        <v>45538.60950231482</v>
      </c>
      <c r="C229" s="1" t="n">
        <v>45924</v>
      </c>
      <c r="D229" t="inlineStr">
        <is>
          <t>KALMAR LÄN</t>
        </is>
      </c>
      <c r="E229" t="inlineStr">
        <is>
          <t>MÖNSTERÅS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36908-2024</t>
        </is>
      </c>
      <c r="B230" s="1" t="n">
        <v>45538.63414351852</v>
      </c>
      <c r="C230" s="1" t="n">
        <v>45924</v>
      </c>
      <c r="D230" t="inlineStr">
        <is>
          <t>KALMAR LÄN</t>
        </is>
      </c>
      <c r="E230" t="inlineStr">
        <is>
          <t>MÖNSTERÅS</t>
        </is>
      </c>
      <c r="G230" t="n">
        <v>19.2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15612-2021</t>
        </is>
      </c>
      <c r="B231" s="1" t="n">
        <v>44285.72333333334</v>
      </c>
      <c r="C231" s="1" t="n">
        <v>45924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62638-2023</t>
        </is>
      </c>
      <c r="B232" s="1" t="n">
        <v>45271.4174537037</v>
      </c>
      <c r="C232" s="1" t="n">
        <v>45924</v>
      </c>
      <c r="D232" t="inlineStr">
        <is>
          <t>KALMAR LÄN</t>
        </is>
      </c>
      <c r="E232" t="inlineStr">
        <is>
          <t>MÖNSTERÅS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18782-2025</t>
        </is>
      </c>
      <c r="B233" s="1" t="n">
        <v>45764.33587962963</v>
      </c>
      <c r="C233" s="1" t="n">
        <v>45924</v>
      </c>
      <c r="D233" t="inlineStr">
        <is>
          <t>KALMAR LÄN</t>
        </is>
      </c>
      <c r="E233" t="inlineStr">
        <is>
          <t>MÖNSTERÅS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14900-2023</t>
        </is>
      </c>
      <c r="B234" s="1" t="n">
        <v>45015</v>
      </c>
      <c r="C234" s="1" t="n">
        <v>45924</v>
      </c>
      <c r="D234" t="inlineStr">
        <is>
          <t>KALMAR LÄN</t>
        </is>
      </c>
      <c r="E234" t="inlineStr">
        <is>
          <t>MÖNSTERÅS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18732-2025</t>
        </is>
      </c>
      <c r="B235" s="1" t="n">
        <v>45763.6754050926</v>
      </c>
      <c r="C235" s="1" t="n">
        <v>45924</v>
      </c>
      <c r="D235" t="inlineStr">
        <is>
          <t>KALMAR LÄN</t>
        </is>
      </c>
      <c r="E235" t="inlineStr">
        <is>
          <t>MÖNSTERÅS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62218-2022</t>
        </is>
      </c>
      <c r="B236" s="1" t="n">
        <v>44922</v>
      </c>
      <c r="C236" s="1" t="n">
        <v>45924</v>
      </c>
      <c r="D236" t="inlineStr">
        <is>
          <t>KALMAR LÄN</t>
        </is>
      </c>
      <c r="E236" t="inlineStr">
        <is>
          <t>MÖNSTERÅS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22393-2025</t>
        </is>
      </c>
      <c r="B237" s="1" t="n">
        <v>45786.51432870371</v>
      </c>
      <c r="C237" s="1" t="n">
        <v>45924</v>
      </c>
      <c r="D237" t="inlineStr">
        <is>
          <t>KALMAR LÄN</t>
        </is>
      </c>
      <c r="E237" t="inlineStr">
        <is>
          <t>MÖNSTERÅS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214-2023</t>
        </is>
      </c>
      <c r="B238" s="1" t="n">
        <v>44928</v>
      </c>
      <c r="C238" s="1" t="n">
        <v>45924</v>
      </c>
      <c r="D238" t="inlineStr">
        <is>
          <t>KALMAR LÄN</t>
        </is>
      </c>
      <c r="E238" t="inlineStr">
        <is>
          <t>MÖNSTERÅS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25201-2023</t>
        </is>
      </c>
      <c r="B239" s="1" t="n">
        <v>45086</v>
      </c>
      <c r="C239" s="1" t="n">
        <v>45924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25205-2023</t>
        </is>
      </c>
      <c r="B240" s="1" t="n">
        <v>45086</v>
      </c>
      <c r="C240" s="1" t="n">
        <v>45924</v>
      </c>
      <c r="D240" t="inlineStr">
        <is>
          <t>KALMAR LÄN</t>
        </is>
      </c>
      <c r="E240" t="inlineStr">
        <is>
          <t>MÖNSTERÅS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776-2023</t>
        </is>
      </c>
      <c r="B241" s="1" t="n">
        <v>44931</v>
      </c>
      <c r="C241" s="1" t="n">
        <v>45924</v>
      </c>
      <c r="D241" t="inlineStr">
        <is>
          <t>KALMAR LÄN</t>
        </is>
      </c>
      <c r="E241" t="inlineStr">
        <is>
          <t>MÖNSTERÅS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13964-2025</t>
        </is>
      </c>
      <c r="B242" s="1" t="n">
        <v>45738.34930555556</v>
      </c>
      <c r="C242" s="1" t="n">
        <v>45924</v>
      </c>
      <c r="D242" t="inlineStr">
        <is>
          <t>KALMAR LÄN</t>
        </is>
      </c>
      <c r="E242" t="inlineStr">
        <is>
          <t>MÖNSTERÅS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13967-2025</t>
        </is>
      </c>
      <c r="B243" s="1" t="n">
        <v>45738.36251157407</v>
      </c>
      <c r="C243" s="1" t="n">
        <v>45924</v>
      </c>
      <c r="D243" t="inlineStr">
        <is>
          <t>KALMAR LÄN</t>
        </is>
      </c>
      <c r="E243" t="inlineStr">
        <is>
          <t>MÖNSTERÅS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40188-2023</t>
        </is>
      </c>
      <c r="B244" s="1" t="n">
        <v>45169</v>
      </c>
      <c r="C244" s="1" t="n">
        <v>45924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37096-2022</t>
        </is>
      </c>
      <c r="B245" s="1" t="n">
        <v>44806.50565972222</v>
      </c>
      <c r="C245" s="1" t="n">
        <v>45924</v>
      </c>
      <c r="D245" t="inlineStr">
        <is>
          <t>KALMAR LÄN</t>
        </is>
      </c>
      <c r="E245" t="inlineStr">
        <is>
          <t>MÖNSTERÅS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52963-2024</t>
        </is>
      </c>
      <c r="B246" s="1" t="n">
        <v>45611.31045138889</v>
      </c>
      <c r="C246" s="1" t="n">
        <v>45924</v>
      </c>
      <c r="D246" t="inlineStr">
        <is>
          <t>KALMAR LÄN</t>
        </is>
      </c>
      <c r="E246" t="inlineStr">
        <is>
          <t>MÖNSTERÅS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28380-2024</t>
        </is>
      </c>
      <c r="B247" s="1" t="n">
        <v>45477.59359953704</v>
      </c>
      <c r="C247" s="1" t="n">
        <v>45924</v>
      </c>
      <c r="D247" t="inlineStr">
        <is>
          <t>KALMAR LÄN</t>
        </is>
      </c>
      <c r="E247" t="inlineStr">
        <is>
          <t>MÖNSTERÅS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63355-2023</t>
        </is>
      </c>
      <c r="B248" s="1" t="n">
        <v>45274</v>
      </c>
      <c r="C248" s="1" t="n">
        <v>45924</v>
      </c>
      <c r="D248" t="inlineStr">
        <is>
          <t>KALMAR LÄN</t>
        </is>
      </c>
      <c r="E248" t="inlineStr">
        <is>
          <t>MÖNSTERÅS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34851-2025</t>
        </is>
      </c>
      <c r="B249" s="1" t="n">
        <v>45849.4249537037</v>
      </c>
      <c r="C249" s="1" t="n">
        <v>45924</v>
      </c>
      <c r="D249" t="inlineStr">
        <is>
          <t>KALMAR LÄN</t>
        </is>
      </c>
      <c r="E249" t="inlineStr">
        <is>
          <t>MÖNSTERÅS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52866-2022</t>
        </is>
      </c>
      <c r="B250" s="1" t="n">
        <v>44875</v>
      </c>
      <c r="C250" s="1" t="n">
        <v>45924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38471-2023</t>
        </is>
      </c>
      <c r="B251" s="1" t="n">
        <v>45162.45815972222</v>
      </c>
      <c r="C251" s="1" t="n">
        <v>45924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14930-2023</t>
        </is>
      </c>
      <c r="B252" s="1" t="n">
        <v>45015</v>
      </c>
      <c r="C252" s="1" t="n">
        <v>45924</v>
      </c>
      <c r="D252" t="inlineStr">
        <is>
          <t>KALMAR LÄN</t>
        </is>
      </c>
      <c r="E252" t="inlineStr">
        <is>
          <t>MÖNSTERÅS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34937-2025</t>
        </is>
      </c>
      <c r="B253" s="1" t="n">
        <v>45849.57783564815</v>
      </c>
      <c r="C253" s="1" t="n">
        <v>45924</v>
      </c>
      <c r="D253" t="inlineStr">
        <is>
          <t>KALMAR LÄN</t>
        </is>
      </c>
      <c r="E253" t="inlineStr">
        <is>
          <t>MÖNSTERÅS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16428-2023</t>
        </is>
      </c>
      <c r="B254" s="1" t="n">
        <v>45022</v>
      </c>
      <c r="C254" s="1" t="n">
        <v>45924</v>
      </c>
      <c r="D254" t="inlineStr">
        <is>
          <t>KALMAR LÄN</t>
        </is>
      </c>
      <c r="E254" t="inlineStr">
        <is>
          <t>MÖNSTERÅS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2571-2025</t>
        </is>
      </c>
      <c r="B255" s="1" t="n">
        <v>45674.6674537037</v>
      </c>
      <c r="C255" s="1" t="n">
        <v>45924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61127-2022</t>
        </is>
      </c>
      <c r="B256" s="1" t="n">
        <v>44915</v>
      </c>
      <c r="C256" s="1" t="n">
        <v>45924</v>
      </c>
      <c r="D256" t="inlineStr">
        <is>
          <t>KALMAR LÄN</t>
        </is>
      </c>
      <c r="E256" t="inlineStr">
        <is>
          <t>MÖNSTERÅS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34945-2025</t>
        </is>
      </c>
      <c r="B257" s="1" t="n">
        <v>45849.59052083334</v>
      </c>
      <c r="C257" s="1" t="n">
        <v>45924</v>
      </c>
      <c r="D257" t="inlineStr">
        <is>
          <t>KALMAR LÄN</t>
        </is>
      </c>
      <c r="E257" t="inlineStr">
        <is>
          <t>MÖNSTERÅS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4472-2025</t>
        </is>
      </c>
      <c r="B258" s="1" t="n">
        <v>45686.61859953704</v>
      </c>
      <c r="C258" s="1" t="n">
        <v>45924</v>
      </c>
      <c r="D258" t="inlineStr">
        <is>
          <t>KALMAR LÄN</t>
        </is>
      </c>
      <c r="E258" t="inlineStr">
        <is>
          <t>MÖNSTERÅS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40344-2025</t>
        </is>
      </c>
      <c r="B259" s="1" t="n">
        <v>45895.47384259259</v>
      </c>
      <c r="C259" s="1" t="n">
        <v>45924</v>
      </c>
      <c r="D259" t="inlineStr">
        <is>
          <t>KALMAR LÄN</t>
        </is>
      </c>
      <c r="E259" t="inlineStr">
        <is>
          <t>MÖNSTERÅS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35065-2025</t>
        </is>
      </c>
      <c r="B260" s="1" t="n">
        <v>45852.43928240741</v>
      </c>
      <c r="C260" s="1" t="n">
        <v>45924</v>
      </c>
      <c r="D260" t="inlineStr">
        <is>
          <t>KALMAR LÄN</t>
        </is>
      </c>
      <c r="E260" t="inlineStr">
        <is>
          <t>MÖNSTERÅS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61197-2022</t>
        </is>
      </c>
      <c r="B261" s="1" t="n">
        <v>44915.53012731481</v>
      </c>
      <c r="C261" s="1" t="n">
        <v>45924</v>
      </c>
      <c r="D261" t="inlineStr">
        <is>
          <t>KALMAR LÄN</t>
        </is>
      </c>
      <c r="E261" t="inlineStr">
        <is>
          <t>MÖNSTERÅS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61204-2022</t>
        </is>
      </c>
      <c r="B262" s="1" t="n">
        <v>44915.53577546297</v>
      </c>
      <c r="C262" s="1" t="n">
        <v>45924</v>
      </c>
      <c r="D262" t="inlineStr">
        <is>
          <t>KALMAR LÄN</t>
        </is>
      </c>
      <c r="E262" t="inlineStr">
        <is>
          <t>MÖNSTERÅS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39212-2022</t>
        </is>
      </c>
      <c r="B263" s="1" t="n">
        <v>44817</v>
      </c>
      <c r="C263" s="1" t="n">
        <v>45924</v>
      </c>
      <c r="D263" t="inlineStr">
        <is>
          <t>KALMAR LÄN</t>
        </is>
      </c>
      <c r="E263" t="inlineStr">
        <is>
          <t>MÖNSTERÅS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8113-2023</t>
        </is>
      </c>
      <c r="B264" s="1" t="n">
        <v>44974</v>
      </c>
      <c r="C264" s="1" t="n">
        <v>45924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14936-2023</t>
        </is>
      </c>
      <c r="B265" s="1" t="n">
        <v>45015</v>
      </c>
      <c r="C265" s="1" t="n">
        <v>45924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13902-2023</t>
        </is>
      </c>
      <c r="B266" s="1" t="n">
        <v>45008</v>
      </c>
      <c r="C266" s="1" t="n">
        <v>45924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27629-2023</t>
        </is>
      </c>
      <c r="B267" s="1" t="n">
        <v>45097.65108796296</v>
      </c>
      <c r="C267" s="1" t="n">
        <v>45924</v>
      </c>
      <c r="D267" t="inlineStr">
        <is>
          <t>KALMAR LÄN</t>
        </is>
      </c>
      <c r="E267" t="inlineStr">
        <is>
          <t>MÖNSTERÅS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63469-2023</t>
        </is>
      </c>
      <c r="B268" s="1" t="n">
        <v>45274.62921296297</v>
      </c>
      <c r="C268" s="1" t="n">
        <v>45924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34344-2023</t>
        </is>
      </c>
      <c r="B269" s="1" t="n">
        <v>45139</v>
      </c>
      <c r="C269" s="1" t="n">
        <v>45924</v>
      </c>
      <c r="D269" t="inlineStr">
        <is>
          <t>KALMAR LÄN</t>
        </is>
      </c>
      <c r="E269" t="inlineStr">
        <is>
          <t>MÖNSTERÅS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41518-2025</t>
        </is>
      </c>
      <c r="B270" s="1" t="n">
        <v>45901.54518518518</v>
      </c>
      <c r="C270" s="1" t="n">
        <v>45924</v>
      </c>
      <c r="D270" t="inlineStr">
        <is>
          <t>KALMAR LÄN</t>
        </is>
      </c>
      <c r="E270" t="inlineStr">
        <is>
          <t>MÖNSTERÅS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18849-2025</t>
        </is>
      </c>
      <c r="B271" s="1" t="n">
        <v>45764.41733796296</v>
      </c>
      <c r="C271" s="1" t="n">
        <v>45924</v>
      </c>
      <c r="D271" t="inlineStr">
        <is>
          <t>KALMAR LÄN</t>
        </is>
      </c>
      <c r="E271" t="inlineStr">
        <is>
          <t>MÖNSTERÅS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18857-2025</t>
        </is>
      </c>
      <c r="B272" s="1" t="n">
        <v>45764.42305555556</v>
      </c>
      <c r="C272" s="1" t="n">
        <v>45924</v>
      </c>
      <c r="D272" t="inlineStr">
        <is>
          <t>KALMAR LÄN</t>
        </is>
      </c>
      <c r="E272" t="inlineStr">
        <is>
          <t>MÖNSTERÅS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38579-2022</t>
        </is>
      </c>
      <c r="B273" s="1" t="n">
        <v>44813</v>
      </c>
      <c r="C273" s="1" t="n">
        <v>45924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39158-2022</t>
        </is>
      </c>
      <c r="B274" s="1" t="n">
        <v>44817</v>
      </c>
      <c r="C274" s="1" t="n">
        <v>45924</v>
      </c>
      <c r="D274" t="inlineStr">
        <is>
          <t>KALMAR LÄN</t>
        </is>
      </c>
      <c r="E274" t="inlineStr">
        <is>
          <t>MÖNSTERÅS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41880-2025</t>
        </is>
      </c>
      <c r="B275" s="1" t="n">
        <v>45903.35640046297</v>
      </c>
      <c r="C275" s="1" t="n">
        <v>45924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41977-2025</t>
        </is>
      </c>
      <c r="B276" s="1" t="n">
        <v>45903.50716435185</v>
      </c>
      <c r="C276" s="1" t="n">
        <v>45924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62283-2022</t>
        </is>
      </c>
      <c r="B277" s="1" t="n">
        <v>44923</v>
      </c>
      <c r="C277" s="1" t="n">
        <v>45924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41854-2025</t>
        </is>
      </c>
      <c r="B278" s="1" t="n">
        <v>45902.92253472222</v>
      </c>
      <c r="C278" s="1" t="n">
        <v>45924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10111-2024</t>
        </is>
      </c>
      <c r="B279" s="1" t="n">
        <v>45364</v>
      </c>
      <c r="C279" s="1" t="n">
        <v>45924</v>
      </c>
      <c r="D279" t="inlineStr">
        <is>
          <t>KALMAR LÄN</t>
        </is>
      </c>
      <c r="E279" t="inlineStr">
        <is>
          <t>MÖNSTERÅS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35934-2025</t>
        </is>
      </c>
      <c r="B280" s="1" t="n">
        <v>45862.62900462963</v>
      </c>
      <c r="C280" s="1" t="n">
        <v>45924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42153-2025</t>
        </is>
      </c>
      <c r="B281" s="1" t="n">
        <v>45904.39041666667</v>
      </c>
      <c r="C281" s="1" t="n">
        <v>45924</v>
      </c>
      <c r="D281" t="inlineStr">
        <is>
          <t>KALMAR LÄN</t>
        </is>
      </c>
      <c r="E281" t="inlineStr">
        <is>
          <t>MÖNSTERÅS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61876-2022</t>
        </is>
      </c>
      <c r="B282" s="1" t="n">
        <v>44917</v>
      </c>
      <c r="C282" s="1" t="n">
        <v>45924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35941-2025</t>
        </is>
      </c>
      <c r="B283" s="1" t="n">
        <v>45862.65146990741</v>
      </c>
      <c r="C283" s="1" t="n">
        <v>45924</v>
      </c>
      <c r="D283" t="inlineStr">
        <is>
          <t>KALMAR LÄN</t>
        </is>
      </c>
      <c r="E283" t="inlineStr">
        <is>
          <t>MÖNSTERÅS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44001-2023</t>
        </is>
      </c>
      <c r="B284" s="1" t="n">
        <v>45188</v>
      </c>
      <c r="C284" s="1" t="n">
        <v>45924</v>
      </c>
      <c r="D284" t="inlineStr">
        <is>
          <t>KALMAR LÄN</t>
        </is>
      </c>
      <c r="E284" t="inlineStr">
        <is>
          <t>MÖNSTERÅS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42145-2025</t>
        </is>
      </c>
      <c r="B285" s="1" t="n">
        <v>45904.37453703704</v>
      </c>
      <c r="C285" s="1" t="n">
        <v>45924</v>
      </c>
      <c r="D285" t="inlineStr">
        <is>
          <t>KALMAR LÄN</t>
        </is>
      </c>
      <c r="E285" t="inlineStr">
        <is>
          <t>MÖNSTERÅS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51478-2022</t>
        </is>
      </c>
      <c r="B286" s="1" t="n">
        <v>44869.57064814815</v>
      </c>
      <c r="C286" s="1" t="n">
        <v>45924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27610-2023</t>
        </is>
      </c>
      <c r="B287" s="1" t="n">
        <v>45097</v>
      </c>
      <c r="C287" s="1" t="n">
        <v>45924</v>
      </c>
      <c r="D287" t="inlineStr">
        <is>
          <t>KALMAR LÄN</t>
        </is>
      </c>
      <c r="E287" t="inlineStr">
        <is>
          <t>MÖNSTERÅS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45066-2024</t>
        </is>
      </c>
      <c r="B288" s="1" t="n">
        <v>45575.56173611111</v>
      </c>
      <c r="C288" s="1" t="n">
        <v>45924</v>
      </c>
      <c r="D288" t="inlineStr">
        <is>
          <t>KALMAR LÄN</t>
        </is>
      </c>
      <c r="E288" t="inlineStr">
        <is>
          <t>MÖNSTERÅS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4268-2025</t>
        </is>
      </c>
      <c r="B289" s="1" t="n">
        <v>45685.62289351852</v>
      </c>
      <c r="C289" s="1" t="n">
        <v>45924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70680-2021</t>
        </is>
      </c>
      <c r="B290" s="1" t="n">
        <v>44537.56964120371</v>
      </c>
      <c r="C290" s="1" t="n">
        <v>45924</v>
      </c>
      <c r="D290" t="inlineStr">
        <is>
          <t>KALMAR LÄN</t>
        </is>
      </c>
      <c r="E290" t="inlineStr">
        <is>
          <t>MÖNSTERÅS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50913-2023</t>
        </is>
      </c>
      <c r="B291" s="1" t="n">
        <v>45218</v>
      </c>
      <c r="C291" s="1" t="n">
        <v>45924</v>
      </c>
      <c r="D291" t="inlineStr">
        <is>
          <t>KALMAR LÄN</t>
        </is>
      </c>
      <c r="E291" t="inlineStr">
        <is>
          <t>MÖNSTERÅS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43492-2025</t>
        </is>
      </c>
      <c r="B292" s="1" t="n">
        <v>45911.51435185185</v>
      </c>
      <c r="C292" s="1" t="n">
        <v>45924</v>
      </c>
      <c r="D292" t="inlineStr">
        <is>
          <t>KALMAR LÄN</t>
        </is>
      </c>
      <c r="E292" t="inlineStr">
        <is>
          <t>MÖNSTERÅS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43438-2025</t>
        </is>
      </c>
      <c r="B293" s="1" t="n">
        <v>45911.43789351852</v>
      </c>
      <c r="C293" s="1" t="n">
        <v>45924</v>
      </c>
      <c r="D293" t="inlineStr">
        <is>
          <t>KALMAR LÄN</t>
        </is>
      </c>
      <c r="E293" t="inlineStr">
        <is>
          <t>MÖNSTERÅS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44535-2024</t>
        </is>
      </c>
      <c r="B294" s="1" t="n">
        <v>45574.45234953704</v>
      </c>
      <c r="C294" s="1" t="n">
        <v>45924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41480-2024</t>
        </is>
      </c>
      <c r="B295" s="1" t="n">
        <v>45560</v>
      </c>
      <c r="C295" s="1" t="n">
        <v>45924</v>
      </c>
      <c r="D295" t="inlineStr">
        <is>
          <t>KALMAR LÄN</t>
        </is>
      </c>
      <c r="E295" t="inlineStr">
        <is>
          <t>MÖNSTERÅS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62204-2022</t>
        </is>
      </c>
      <c r="B296" s="1" t="n">
        <v>44922</v>
      </c>
      <c r="C296" s="1" t="n">
        <v>45924</v>
      </c>
      <c r="D296" t="inlineStr">
        <is>
          <t>KALMAR LÄN</t>
        </is>
      </c>
      <c r="E296" t="inlineStr">
        <is>
          <t>MÖNSTERÅS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39262-2022</t>
        </is>
      </c>
      <c r="B297" s="1" t="n">
        <v>44817</v>
      </c>
      <c r="C297" s="1" t="n">
        <v>45924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12461-2022</t>
        </is>
      </c>
      <c r="B298" s="1" t="n">
        <v>44638</v>
      </c>
      <c r="C298" s="1" t="n">
        <v>45924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37951-2023</t>
        </is>
      </c>
      <c r="B299" s="1" t="n">
        <v>45160</v>
      </c>
      <c r="C299" s="1" t="n">
        <v>45924</v>
      </c>
      <c r="D299" t="inlineStr">
        <is>
          <t>KALMAR LÄN</t>
        </is>
      </c>
      <c r="E299" t="inlineStr">
        <is>
          <t>MÖNSTERÅS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63454-2023</t>
        </is>
      </c>
      <c r="B300" s="1" t="n">
        <v>45274.61356481481</v>
      </c>
      <c r="C300" s="1" t="n">
        <v>45924</v>
      </c>
      <c r="D300" t="inlineStr">
        <is>
          <t>KALMAR LÄN</t>
        </is>
      </c>
      <c r="E300" t="inlineStr">
        <is>
          <t>MÖNSTERÅS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38858-2021</t>
        </is>
      </c>
      <c r="B301" s="1" t="n">
        <v>44411</v>
      </c>
      <c r="C301" s="1" t="n">
        <v>45924</v>
      </c>
      <c r="D301" t="inlineStr">
        <is>
          <t>KALMAR LÄN</t>
        </is>
      </c>
      <c r="E301" t="inlineStr">
        <is>
          <t>MÖNSTERÅS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36964-2025</t>
        </is>
      </c>
      <c r="B302" s="1" t="n">
        <v>45874.63407407407</v>
      </c>
      <c r="C302" s="1" t="n">
        <v>45924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4343-2021</t>
        </is>
      </c>
      <c r="B303" s="1" t="n">
        <v>44223</v>
      </c>
      <c r="C303" s="1" t="n">
        <v>45924</v>
      </c>
      <c r="D303" t="inlineStr">
        <is>
          <t>KALMAR LÄN</t>
        </is>
      </c>
      <c r="E303" t="inlineStr">
        <is>
          <t>MÖNSTERÅS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8308-2025</t>
        </is>
      </c>
      <c r="B304" s="1" t="n">
        <v>45708.60461805556</v>
      </c>
      <c r="C304" s="1" t="n">
        <v>45924</v>
      </c>
      <c r="D304" t="inlineStr">
        <is>
          <t>KALMAR LÄN</t>
        </is>
      </c>
      <c r="E304" t="inlineStr">
        <is>
          <t>MÖNSTERÅS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37298-2025</t>
        </is>
      </c>
      <c r="B305" s="1" t="n">
        <v>45876.57542824074</v>
      </c>
      <c r="C305" s="1" t="n">
        <v>45924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37294-2025</t>
        </is>
      </c>
      <c r="B306" s="1" t="n">
        <v>45876.53809027778</v>
      </c>
      <c r="C306" s="1" t="n">
        <v>45924</v>
      </c>
      <c r="D306" t="inlineStr">
        <is>
          <t>KALMAR LÄN</t>
        </is>
      </c>
      <c r="E306" t="inlineStr">
        <is>
          <t>MÖNSTERÅS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18803-2025</t>
        </is>
      </c>
      <c r="B307" s="1" t="n">
        <v>45764.35086805555</v>
      </c>
      <c r="C307" s="1" t="n">
        <v>45924</v>
      </c>
      <c r="D307" t="inlineStr">
        <is>
          <t>KALMAR LÄN</t>
        </is>
      </c>
      <c r="E307" t="inlineStr">
        <is>
          <t>MÖNSTERÅS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29449-2021</t>
        </is>
      </c>
      <c r="B308" s="1" t="n">
        <v>44361</v>
      </c>
      <c r="C308" s="1" t="n">
        <v>45924</v>
      </c>
      <c r="D308" t="inlineStr">
        <is>
          <t>KALMAR LÄN</t>
        </is>
      </c>
      <c r="E308" t="inlineStr">
        <is>
          <t>MÖNSTERÅS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37413-2024</t>
        </is>
      </c>
      <c r="B309" s="1" t="n">
        <v>45540.6293287037</v>
      </c>
      <c r="C309" s="1" t="n">
        <v>45924</v>
      </c>
      <c r="D309" t="inlineStr">
        <is>
          <t>KALMAR LÄN</t>
        </is>
      </c>
      <c r="E309" t="inlineStr">
        <is>
          <t>MÖNSTERÅS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15348-2024</t>
        </is>
      </c>
      <c r="B310" s="1" t="n">
        <v>45400.75738425926</v>
      </c>
      <c r="C310" s="1" t="n">
        <v>45924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61874-2022</t>
        </is>
      </c>
      <c r="B311" s="1" t="n">
        <v>44917</v>
      </c>
      <c r="C311" s="1" t="n">
        <v>45924</v>
      </c>
      <c r="D311" t="inlineStr">
        <is>
          <t>KALMAR LÄN</t>
        </is>
      </c>
      <c r="E311" t="inlineStr">
        <is>
          <t>MÖNSTERÅS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59289-2022</t>
        </is>
      </c>
      <c r="B312" s="1" t="n">
        <v>44904</v>
      </c>
      <c r="C312" s="1" t="n">
        <v>45924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64339-2023</t>
        </is>
      </c>
      <c r="B313" s="1" t="n">
        <v>45280.45199074074</v>
      </c>
      <c r="C313" s="1" t="n">
        <v>45924</v>
      </c>
      <c r="D313" t="inlineStr">
        <is>
          <t>KALMAR LÄN</t>
        </is>
      </c>
      <c r="E313" t="inlineStr">
        <is>
          <t>MÖNSTERÅS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37582-2025</t>
        </is>
      </c>
      <c r="B314" s="1" t="n">
        <v>45880.39017361111</v>
      </c>
      <c r="C314" s="1" t="n">
        <v>45924</v>
      </c>
      <c r="D314" t="inlineStr">
        <is>
          <t>KALMAR LÄN</t>
        </is>
      </c>
      <c r="E314" t="inlineStr">
        <is>
          <t>MÖNSTERÅS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37813-2025</t>
        </is>
      </c>
      <c r="B315" s="1" t="n">
        <v>45881.3720949074</v>
      </c>
      <c r="C315" s="1" t="n">
        <v>45924</v>
      </c>
      <c r="D315" t="inlineStr">
        <is>
          <t>KALMAR LÄN</t>
        </is>
      </c>
      <c r="E315" t="inlineStr">
        <is>
          <t>MÖNSTERÅS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26279-2023</t>
        </is>
      </c>
      <c r="B316" s="1" t="n">
        <v>45091</v>
      </c>
      <c r="C316" s="1" t="n">
        <v>45924</v>
      </c>
      <c r="D316" t="inlineStr">
        <is>
          <t>KALMAR LÄN</t>
        </is>
      </c>
      <c r="E316" t="inlineStr">
        <is>
          <t>MÖNSTERÅS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45331-2025</t>
        </is>
      </c>
      <c r="B317" s="1" t="n">
        <v>45922.33814814815</v>
      </c>
      <c r="C317" s="1" t="n">
        <v>45924</v>
      </c>
      <c r="D317" t="inlineStr">
        <is>
          <t>KALMAR LÄN</t>
        </is>
      </c>
      <c r="E317" t="inlineStr">
        <is>
          <t>MÖNSTERÅS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50071-2022</t>
        </is>
      </c>
      <c r="B318" s="1" t="n">
        <v>44865.48206018518</v>
      </c>
      <c r="C318" s="1" t="n">
        <v>45924</v>
      </c>
      <c r="D318" t="inlineStr">
        <is>
          <t>KALMAR LÄN</t>
        </is>
      </c>
      <c r="E318" t="inlineStr">
        <is>
          <t>MÖNSTERÅS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23701-2023</t>
        </is>
      </c>
      <c r="B319" s="1" t="n">
        <v>45075</v>
      </c>
      <c r="C319" s="1" t="n">
        <v>45924</v>
      </c>
      <c r="D319" t="inlineStr">
        <is>
          <t>KALMAR LÄN</t>
        </is>
      </c>
      <c r="E319" t="inlineStr">
        <is>
          <t>MÖNSTERÅS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3559-2023</t>
        </is>
      </c>
      <c r="B320" s="1" t="n">
        <v>44950.46746527778</v>
      </c>
      <c r="C320" s="1" t="n">
        <v>45924</v>
      </c>
      <c r="D320" t="inlineStr">
        <is>
          <t>KALMAR LÄN</t>
        </is>
      </c>
      <c r="E320" t="inlineStr">
        <is>
          <t>MÖNSTERÅS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15897-2024</t>
        </is>
      </c>
      <c r="B321" s="1" t="n">
        <v>45405.40068287037</v>
      </c>
      <c r="C321" s="1" t="n">
        <v>45924</v>
      </c>
      <c r="D321" t="inlineStr">
        <is>
          <t>KALMAR LÄN</t>
        </is>
      </c>
      <c r="E321" t="inlineStr">
        <is>
          <t>MÖNSTERÅS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45065-2024</t>
        </is>
      </c>
      <c r="B322" s="1" t="n">
        <v>45575.55944444444</v>
      </c>
      <c r="C322" s="1" t="n">
        <v>45924</v>
      </c>
      <c r="D322" t="inlineStr">
        <is>
          <t>KALMAR LÄN</t>
        </is>
      </c>
      <c r="E322" t="inlineStr">
        <is>
          <t>MÖNSTERÅS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44317-2023</t>
        </is>
      </c>
      <c r="B323" s="1" t="n">
        <v>45188</v>
      </c>
      <c r="C323" s="1" t="n">
        <v>45924</v>
      </c>
      <c r="D323" t="inlineStr">
        <is>
          <t>KALMAR LÄN</t>
        </is>
      </c>
      <c r="E323" t="inlineStr">
        <is>
          <t>MÖNSTERÅS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25577-2023</t>
        </is>
      </c>
      <c r="B324" s="1" t="n">
        <v>45089</v>
      </c>
      <c r="C324" s="1" t="n">
        <v>45924</v>
      </c>
      <c r="D324" t="inlineStr">
        <is>
          <t>KALMAR LÄN</t>
        </is>
      </c>
      <c r="E324" t="inlineStr">
        <is>
          <t>MÖNSTERÅS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41665-2022</t>
        </is>
      </c>
      <c r="B325" s="1" t="n">
        <v>44827</v>
      </c>
      <c r="C325" s="1" t="n">
        <v>45924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58720-2023</t>
        </is>
      </c>
      <c r="B326" s="1" t="n">
        <v>45251.73802083333</v>
      </c>
      <c r="C326" s="1" t="n">
        <v>45924</v>
      </c>
      <c r="D326" t="inlineStr">
        <is>
          <t>KALMAR LÄN</t>
        </is>
      </c>
      <c r="E326" t="inlineStr">
        <is>
          <t>MÖNSTERÅS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6557-2023</t>
        </is>
      </c>
      <c r="B327" s="1" t="n">
        <v>44966.45128472222</v>
      </c>
      <c r="C327" s="1" t="n">
        <v>45924</v>
      </c>
      <c r="D327" t="inlineStr">
        <is>
          <t>KALMAR LÄN</t>
        </is>
      </c>
      <c r="E327" t="inlineStr">
        <is>
          <t>MÖNSTERÅS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51533-2022</t>
        </is>
      </c>
      <c r="B328" s="1" t="n">
        <v>44869.80395833333</v>
      </c>
      <c r="C328" s="1" t="n">
        <v>45924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7978-2024</t>
        </is>
      </c>
      <c r="B329" s="1" t="n">
        <v>45350.59567129629</v>
      </c>
      <c r="C329" s="1" t="n">
        <v>45924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22377-2022</t>
        </is>
      </c>
      <c r="B330" s="1" t="n">
        <v>44713.41929398148</v>
      </c>
      <c r="C330" s="1" t="n">
        <v>45924</v>
      </c>
      <c r="D330" t="inlineStr">
        <is>
          <t>KALMAR LÄN</t>
        </is>
      </c>
      <c r="E330" t="inlineStr">
        <is>
          <t>MÖNSTERÅS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36269-2023</t>
        </is>
      </c>
      <c r="B331" s="1" t="n">
        <v>45151.96359953703</v>
      </c>
      <c r="C331" s="1" t="n">
        <v>45924</v>
      </c>
      <c r="D331" t="inlineStr">
        <is>
          <t>KALMAR LÄN</t>
        </is>
      </c>
      <c r="E331" t="inlineStr">
        <is>
          <t>MÖNSTERÅS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37376-2023</t>
        </is>
      </c>
      <c r="B332" s="1" t="n">
        <v>45155</v>
      </c>
      <c r="C332" s="1" t="n">
        <v>45924</v>
      </c>
      <c r="D332" t="inlineStr">
        <is>
          <t>KALMAR LÄN</t>
        </is>
      </c>
      <c r="E332" t="inlineStr">
        <is>
          <t>MÖNSTERÅS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42927-2023</t>
        </is>
      </c>
      <c r="B333" s="1" t="n">
        <v>45182</v>
      </c>
      <c r="C333" s="1" t="n">
        <v>45924</v>
      </c>
      <c r="D333" t="inlineStr">
        <is>
          <t>KALMAR LÄN</t>
        </is>
      </c>
      <c r="E333" t="inlineStr">
        <is>
          <t>MÖNSTERÅS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59540-2024</t>
        </is>
      </c>
      <c r="B334" s="1" t="n">
        <v>45638.61381944444</v>
      </c>
      <c r="C334" s="1" t="n">
        <v>45924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2076-2021</t>
        </is>
      </c>
      <c r="B335" s="1" t="n">
        <v>44211</v>
      </c>
      <c r="C335" s="1" t="n">
        <v>45924</v>
      </c>
      <c r="D335" t="inlineStr">
        <is>
          <t>KALMAR LÄN</t>
        </is>
      </c>
      <c r="E335" t="inlineStr">
        <is>
          <t>MÖNSTERÅS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37250-2024</t>
        </is>
      </c>
      <c r="B336" s="1" t="n">
        <v>45540.35737268518</v>
      </c>
      <c r="C336" s="1" t="n">
        <v>45924</v>
      </c>
      <c r="D336" t="inlineStr">
        <is>
          <t>KALMAR LÄN</t>
        </is>
      </c>
      <c r="E336" t="inlineStr">
        <is>
          <t>MÖNSTERÅS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3357-2021</t>
        </is>
      </c>
      <c r="B337" s="1" t="n">
        <v>44218</v>
      </c>
      <c r="C337" s="1" t="n">
        <v>45924</v>
      </c>
      <c r="D337" t="inlineStr">
        <is>
          <t>KALMAR LÄN</t>
        </is>
      </c>
      <c r="E337" t="inlineStr">
        <is>
          <t>MÖNSTERÅS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7637-2023</t>
        </is>
      </c>
      <c r="B338" s="1" t="n">
        <v>44972.57466435185</v>
      </c>
      <c r="C338" s="1" t="n">
        <v>45924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45504-2023</t>
        </is>
      </c>
      <c r="B339" s="1" t="n">
        <v>45188</v>
      </c>
      <c r="C339" s="1" t="n">
        <v>45924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5639-2022</t>
        </is>
      </c>
      <c r="B340" s="1" t="n">
        <v>44595</v>
      </c>
      <c r="C340" s="1" t="n">
        <v>45924</v>
      </c>
      <c r="D340" t="inlineStr">
        <is>
          <t>KALMAR LÄN</t>
        </is>
      </c>
      <c r="E340" t="inlineStr">
        <is>
          <t>MÖNSTERÅS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10934-2023</t>
        </is>
      </c>
      <c r="B341" s="1" t="n">
        <v>44991.52763888889</v>
      </c>
      <c r="C341" s="1" t="n">
        <v>45924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27077-2022</t>
        </is>
      </c>
      <c r="B342" s="1" t="n">
        <v>44741.40471064814</v>
      </c>
      <c r="C342" s="1" t="n">
        <v>45924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36361-2023</t>
        </is>
      </c>
      <c r="B343" s="1" t="n">
        <v>45152</v>
      </c>
      <c r="C343" s="1" t="n">
        <v>45924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3759-2024</t>
        </is>
      </c>
      <c r="B344" s="1" t="n">
        <v>45321.55706018519</v>
      </c>
      <c r="C344" s="1" t="n">
        <v>45924</v>
      </c>
      <c r="D344" t="inlineStr">
        <is>
          <t>KALMAR LÄN</t>
        </is>
      </c>
      <c r="E344" t="inlineStr">
        <is>
          <t>MÖNSTERÅS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64106-2023</t>
        </is>
      </c>
      <c r="B345" s="1" t="n">
        <v>45279</v>
      </c>
      <c r="C345" s="1" t="n">
        <v>45924</v>
      </c>
      <c r="D345" t="inlineStr">
        <is>
          <t>KALMAR LÄN</t>
        </is>
      </c>
      <c r="E345" t="inlineStr">
        <is>
          <t>MÖNSTERÅS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59159-2023</t>
        </is>
      </c>
      <c r="B346" s="1" t="n">
        <v>45251</v>
      </c>
      <c r="C346" s="1" t="n">
        <v>45924</v>
      </c>
      <c r="D346" t="inlineStr">
        <is>
          <t>KALMAR LÄN</t>
        </is>
      </c>
      <c r="E346" t="inlineStr">
        <is>
          <t>MÖNSTERÅS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59309-2022</t>
        </is>
      </c>
      <c r="B347" s="1" t="n">
        <v>44904</v>
      </c>
      <c r="C347" s="1" t="n">
        <v>45924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59243-2022</t>
        </is>
      </c>
      <c r="B348" s="1" t="n">
        <v>44904</v>
      </c>
      <c r="C348" s="1" t="n">
        <v>45924</v>
      </c>
      <c r="D348" t="inlineStr">
        <is>
          <t>KALMAR LÄN</t>
        </is>
      </c>
      <c r="E348" t="inlineStr">
        <is>
          <t>MÖNSTERÅS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62280-2022</t>
        </is>
      </c>
      <c r="B349" s="1" t="n">
        <v>44923</v>
      </c>
      <c r="C349" s="1" t="n">
        <v>45924</v>
      </c>
      <c r="D349" t="inlineStr">
        <is>
          <t>KALMAR LÄN</t>
        </is>
      </c>
      <c r="E349" t="inlineStr">
        <is>
          <t>MÖNSTERÅS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1889-2023</t>
        </is>
      </c>
      <c r="B350" s="1" t="n">
        <v>44939</v>
      </c>
      <c r="C350" s="1" t="n">
        <v>45924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56839-2024</t>
        </is>
      </c>
      <c r="B351" s="1" t="n">
        <v>45628.51412037037</v>
      </c>
      <c r="C351" s="1" t="n">
        <v>45924</v>
      </c>
      <c r="D351" t="inlineStr">
        <is>
          <t>KALMAR LÄN</t>
        </is>
      </c>
      <c r="E351" t="inlineStr">
        <is>
          <t>MÖNSTERÅS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4104-2024</t>
        </is>
      </c>
      <c r="B352" s="1" t="n">
        <v>45323.6571875</v>
      </c>
      <c r="C352" s="1" t="n">
        <v>45924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26701-2022</t>
        </is>
      </c>
      <c r="B353" s="1" t="n">
        <v>44739</v>
      </c>
      <c r="C353" s="1" t="n">
        <v>45924</v>
      </c>
      <c r="D353" t="inlineStr">
        <is>
          <t>KALMAR LÄN</t>
        </is>
      </c>
      <c r="E353" t="inlineStr">
        <is>
          <t>MÖNSTERÅS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50914-2023</t>
        </is>
      </c>
      <c r="B354" s="1" t="n">
        <v>45218</v>
      </c>
      <c r="C354" s="1" t="n">
        <v>45924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55405-2023</t>
        </is>
      </c>
      <c r="B355" s="1" t="n">
        <v>45238</v>
      </c>
      <c r="C355" s="1" t="n">
        <v>45924</v>
      </c>
      <c r="D355" t="inlineStr">
        <is>
          <t>KALMAR LÄN</t>
        </is>
      </c>
      <c r="E355" t="inlineStr">
        <is>
          <t>MÖNSTERÅS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24999-2023</t>
        </is>
      </c>
      <c r="B356" s="1" t="n">
        <v>45085</v>
      </c>
      <c r="C356" s="1" t="n">
        <v>45924</v>
      </c>
      <c r="D356" t="inlineStr">
        <is>
          <t>KALMAR LÄN</t>
        </is>
      </c>
      <c r="E356" t="inlineStr">
        <is>
          <t>MÖNSTERÅS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21950-2023</t>
        </is>
      </c>
      <c r="B357" s="1" t="n">
        <v>45068.62135416667</v>
      </c>
      <c r="C357" s="1" t="n">
        <v>45924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36900-2024</t>
        </is>
      </c>
      <c r="B358" s="1" t="n">
        <v>45538.62778935185</v>
      </c>
      <c r="C358" s="1" t="n">
        <v>45924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40991-2024</t>
        </is>
      </c>
      <c r="B359" s="1" t="n">
        <v>45558.7166087963</v>
      </c>
      <c r="C359" s="1" t="n">
        <v>45924</v>
      </c>
      <c r="D359" t="inlineStr">
        <is>
          <t>KALMAR LÄN</t>
        </is>
      </c>
      <c r="E359" t="inlineStr">
        <is>
          <t>MÖNSTERÅS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51804-2022</t>
        </is>
      </c>
      <c r="B360" s="1" t="n">
        <v>44872</v>
      </c>
      <c r="C360" s="1" t="n">
        <v>45924</v>
      </c>
      <c r="D360" t="inlineStr">
        <is>
          <t>KALMAR LÄN</t>
        </is>
      </c>
      <c r="E360" t="inlineStr">
        <is>
          <t>MÖNSTERÅS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61009-2024</t>
        </is>
      </c>
      <c r="B361" s="1" t="n">
        <v>45645.44524305555</v>
      </c>
      <c r="C361" s="1" t="n">
        <v>45924</v>
      </c>
      <c r="D361" t="inlineStr">
        <is>
          <t>KALMAR LÄN</t>
        </is>
      </c>
      <c r="E361" t="inlineStr">
        <is>
          <t>MÖNSTERÅS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49658-2024</t>
        </is>
      </c>
      <c r="B362" s="1" t="n">
        <v>45596.63148148148</v>
      </c>
      <c r="C362" s="1" t="n">
        <v>45924</v>
      </c>
      <c r="D362" t="inlineStr">
        <is>
          <t>KALMAR LÄN</t>
        </is>
      </c>
      <c r="E362" t="inlineStr">
        <is>
          <t>MÖNSTERÅS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4946-2024</t>
        </is>
      </c>
      <c r="B363" s="1" t="n">
        <v>45329</v>
      </c>
      <c r="C363" s="1" t="n">
        <v>45924</v>
      </c>
      <c r="D363" t="inlineStr">
        <is>
          <t>KALMAR LÄN</t>
        </is>
      </c>
      <c r="E363" t="inlineStr">
        <is>
          <t>MÖNSTERÅS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5235-2024</t>
        </is>
      </c>
      <c r="B364" s="1" t="n">
        <v>45330.82181712963</v>
      </c>
      <c r="C364" s="1" t="n">
        <v>45924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57964-2024</t>
        </is>
      </c>
      <c r="B365" s="1" t="n">
        <v>45631.59407407408</v>
      </c>
      <c r="C365" s="1" t="n">
        <v>45924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15067-2024</t>
        </is>
      </c>
      <c r="B366" s="1" t="n">
        <v>45399.58237268519</v>
      </c>
      <c r="C366" s="1" t="n">
        <v>45924</v>
      </c>
      <c r="D366" t="inlineStr">
        <is>
          <t>KALMAR LÄN</t>
        </is>
      </c>
      <c r="E366" t="inlineStr">
        <is>
          <t>MÖNSTERÅS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31754-2023</t>
        </is>
      </c>
      <c r="B367" s="1" t="n">
        <v>45106</v>
      </c>
      <c r="C367" s="1" t="n">
        <v>45924</v>
      </c>
      <c r="D367" t="inlineStr">
        <is>
          <t>KALMAR LÄN</t>
        </is>
      </c>
      <c r="E367" t="inlineStr">
        <is>
          <t>MÖNSTERÅS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29957-2022</t>
        </is>
      </c>
      <c r="B368" s="1" t="n">
        <v>44756.64633101852</v>
      </c>
      <c r="C368" s="1" t="n">
        <v>45924</v>
      </c>
      <c r="D368" t="inlineStr">
        <is>
          <t>KALMAR LÄN</t>
        </is>
      </c>
      <c r="E368" t="inlineStr">
        <is>
          <t>MÖNSTERÅS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19023-2025</t>
        </is>
      </c>
      <c r="B369" s="1" t="n">
        <v>45764.62177083334</v>
      </c>
      <c r="C369" s="1" t="n">
        <v>45924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35135-2023</t>
        </is>
      </c>
      <c r="B370" s="1" t="n">
        <v>45145.52805555556</v>
      </c>
      <c r="C370" s="1" t="n">
        <v>45924</v>
      </c>
      <c r="D370" t="inlineStr">
        <is>
          <t>KALMAR LÄN</t>
        </is>
      </c>
      <c r="E370" t="inlineStr">
        <is>
          <t>MÖNSTERÅS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762-2023</t>
        </is>
      </c>
      <c r="B371" s="1" t="n">
        <v>44931</v>
      </c>
      <c r="C371" s="1" t="n">
        <v>45924</v>
      </c>
      <c r="D371" t="inlineStr">
        <is>
          <t>KALMAR LÄN</t>
        </is>
      </c>
      <c r="E371" t="inlineStr">
        <is>
          <t>MÖNSTERÅS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36372-2023</t>
        </is>
      </c>
      <c r="B372" s="1" t="n">
        <v>45152.50440972222</v>
      </c>
      <c r="C372" s="1" t="n">
        <v>45924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16437-2023</t>
        </is>
      </c>
      <c r="B373" s="1" t="n">
        <v>45022</v>
      </c>
      <c r="C373" s="1" t="n">
        <v>45924</v>
      </c>
      <c r="D373" t="inlineStr">
        <is>
          <t>KALMAR LÄN</t>
        </is>
      </c>
      <c r="E373" t="inlineStr">
        <is>
          <t>MÖNSTERÅS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13047-2022</t>
        </is>
      </c>
      <c r="B374" s="1" t="n">
        <v>44643</v>
      </c>
      <c r="C374" s="1" t="n">
        <v>45924</v>
      </c>
      <c r="D374" t="inlineStr">
        <is>
          <t>KALMAR LÄN</t>
        </is>
      </c>
      <c r="E374" t="inlineStr">
        <is>
          <t>MÖNSTERÅS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55576-2023</t>
        </is>
      </c>
      <c r="B375" s="1" t="n">
        <v>45238</v>
      </c>
      <c r="C375" s="1" t="n">
        <v>45924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19947-2023</t>
        </is>
      </c>
      <c r="B376" s="1" t="n">
        <v>45054.52478009259</v>
      </c>
      <c r="C376" s="1" t="n">
        <v>45924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44322-2023</t>
        </is>
      </c>
      <c r="B377" s="1" t="n">
        <v>45188</v>
      </c>
      <c r="C377" s="1" t="n">
        <v>45924</v>
      </c>
      <c r="D377" t="inlineStr">
        <is>
          <t>KALMAR LÄN</t>
        </is>
      </c>
      <c r="E377" t="inlineStr">
        <is>
          <t>MÖNSTERÅS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19280-2025</t>
        </is>
      </c>
      <c r="B378" s="1" t="n">
        <v>45769.54015046296</v>
      </c>
      <c r="C378" s="1" t="n">
        <v>45924</v>
      </c>
      <c r="D378" t="inlineStr">
        <is>
          <t>KALMAR LÄN</t>
        </is>
      </c>
      <c r="E378" t="inlineStr">
        <is>
          <t>MÖNSTERÅS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15598-2025</t>
        </is>
      </c>
      <c r="B379" s="1" t="n">
        <v>45747.92075231481</v>
      </c>
      <c r="C379" s="1" t="n">
        <v>45924</v>
      </c>
      <c r="D379" t="inlineStr">
        <is>
          <t>KALMAR LÄN</t>
        </is>
      </c>
      <c r="E379" t="inlineStr">
        <is>
          <t>MÖNSTERÅS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4780-2024</t>
        </is>
      </c>
      <c r="B380" s="1" t="n">
        <v>45328</v>
      </c>
      <c r="C380" s="1" t="n">
        <v>45924</v>
      </c>
      <c r="D380" t="inlineStr">
        <is>
          <t>KALMAR LÄN</t>
        </is>
      </c>
      <c r="E380" t="inlineStr">
        <is>
          <t>MÖNSTERÅS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61198-2022</t>
        </is>
      </c>
      <c r="B381" s="1" t="n">
        <v>44915</v>
      </c>
      <c r="C381" s="1" t="n">
        <v>45924</v>
      </c>
      <c r="D381" t="inlineStr">
        <is>
          <t>KALMAR LÄN</t>
        </is>
      </c>
      <c r="E381" t="inlineStr">
        <is>
          <t>MÖNSTERÅS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14924-2023</t>
        </is>
      </c>
      <c r="B382" s="1" t="n">
        <v>45015</v>
      </c>
      <c r="C382" s="1" t="n">
        <v>45924</v>
      </c>
      <c r="D382" t="inlineStr">
        <is>
          <t>KALMAR LÄN</t>
        </is>
      </c>
      <c r="E382" t="inlineStr">
        <is>
          <t>MÖNSTERÅS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20201-2024</t>
        </is>
      </c>
      <c r="B383" s="1" t="n">
        <v>45434.65105324074</v>
      </c>
      <c r="C383" s="1" t="n">
        <v>45924</v>
      </c>
      <c r="D383" t="inlineStr">
        <is>
          <t>KALMAR LÄN</t>
        </is>
      </c>
      <c r="E383" t="inlineStr">
        <is>
          <t>MÖNSTERÅS</t>
        </is>
      </c>
      <c r="F383" t="inlineStr">
        <is>
          <t>Kommuner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HYPERLINK("https://klasma.github.io/Logging_0861/knärot/A 20201-2024 karta knärot.png", "A 20201-2024")</f>
        <v/>
      </c>
      <c r="V383">
        <f>HYPERLINK("https://klasma.github.io/Logging_0861/klagomål/A 20201-2024 FSC-klagomål.docx", "A 20201-2024")</f>
        <v/>
      </c>
      <c r="W383">
        <f>HYPERLINK("https://klasma.github.io/Logging_0861/klagomålsmail/A 20201-2024 FSC-klagomål mail.docx", "A 20201-2024")</f>
        <v/>
      </c>
      <c r="X383">
        <f>HYPERLINK("https://klasma.github.io/Logging_0861/tillsyn/A 20201-2024 tillsynsbegäran.docx", "A 20201-2024")</f>
        <v/>
      </c>
      <c r="Y383">
        <f>HYPERLINK("https://klasma.github.io/Logging_0861/tillsynsmail/A 20201-2024 tillsynsbegäran mail.docx", "A 20201-2024")</f>
        <v/>
      </c>
    </row>
    <row r="384" ht="15" customHeight="1">
      <c r="A384" t="inlineStr">
        <is>
          <t>A 20645-2025</t>
        </is>
      </c>
      <c r="B384" s="1" t="n">
        <v>45776</v>
      </c>
      <c r="C384" s="1" t="n">
        <v>45924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9367-2025</t>
        </is>
      </c>
      <c r="B385" s="1" t="n">
        <v>45715.32221064815</v>
      </c>
      <c r="C385" s="1" t="n">
        <v>45924</v>
      </c>
      <c r="D385" t="inlineStr">
        <is>
          <t>KALMAR LÄN</t>
        </is>
      </c>
      <c r="E385" t="inlineStr">
        <is>
          <t>MÖNSTERÅS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1653-2025</t>
        </is>
      </c>
      <c r="B386" s="1" t="n">
        <v>45670.65835648148</v>
      </c>
      <c r="C386" s="1" t="n">
        <v>45924</v>
      </c>
      <c r="D386" t="inlineStr">
        <is>
          <t>KALMAR LÄN</t>
        </is>
      </c>
      <c r="E386" t="inlineStr">
        <is>
          <t>MÖNSTERÅS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8632-2025</t>
        </is>
      </c>
      <c r="B387" s="1" t="n">
        <v>45711.74442129629</v>
      </c>
      <c r="C387" s="1" t="n">
        <v>45924</v>
      </c>
      <c r="D387" t="inlineStr">
        <is>
          <t>KALMAR LÄN</t>
        </is>
      </c>
      <c r="E387" t="inlineStr">
        <is>
          <t>MÖNSTERÅS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26061-2023</t>
        </is>
      </c>
      <c r="B388" s="1" t="n">
        <v>45091</v>
      </c>
      <c r="C388" s="1" t="n">
        <v>45924</v>
      </c>
      <c r="D388" t="inlineStr">
        <is>
          <t>KALMAR LÄN</t>
        </is>
      </c>
      <c r="E388" t="inlineStr">
        <is>
          <t>MÖNSTERÅS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41581-2024</t>
        </is>
      </c>
      <c r="B389" s="1" t="n">
        <v>45560.55587962963</v>
      </c>
      <c r="C389" s="1" t="n">
        <v>45924</v>
      </c>
      <c r="D389" t="inlineStr">
        <is>
          <t>KALMAR LÄN</t>
        </is>
      </c>
      <c r="E389" t="inlineStr">
        <is>
          <t>MÖNSTERÅS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61749-2024</t>
        </is>
      </c>
      <c r="B390" s="1" t="n">
        <v>45649.39033564815</v>
      </c>
      <c r="C390" s="1" t="n">
        <v>45924</v>
      </c>
      <c r="D390" t="inlineStr">
        <is>
          <t>KALMAR LÄN</t>
        </is>
      </c>
      <c r="E390" t="inlineStr">
        <is>
          <t>MÖNSTERÅS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36607-2024</t>
        </is>
      </c>
      <c r="B391" s="1" t="n">
        <v>45537.57107638889</v>
      </c>
      <c r="C391" s="1" t="n">
        <v>45924</v>
      </c>
      <c r="D391" t="inlineStr">
        <is>
          <t>KALMAR LÄN</t>
        </is>
      </c>
      <c r="E391" t="inlineStr">
        <is>
          <t>MÖNSTERÅS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9215-2025</t>
        </is>
      </c>
      <c r="B392" s="1" t="n">
        <v>45714.51229166667</v>
      </c>
      <c r="C392" s="1" t="n">
        <v>45924</v>
      </c>
      <c r="D392" t="inlineStr">
        <is>
          <t>KALMAR LÄN</t>
        </is>
      </c>
      <c r="E392" t="inlineStr">
        <is>
          <t>MÖNSTERÅS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61751-2024</t>
        </is>
      </c>
      <c r="B393" s="1" t="n">
        <v>45649.39400462963</v>
      </c>
      <c r="C393" s="1" t="n">
        <v>45924</v>
      </c>
      <c r="D393" t="inlineStr">
        <is>
          <t>KALMAR LÄN</t>
        </is>
      </c>
      <c r="E393" t="inlineStr">
        <is>
          <t>MÖNSTERÅS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23009-2025</t>
        </is>
      </c>
      <c r="B394" s="1" t="n">
        <v>45790.61526620371</v>
      </c>
      <c r="C394" s="1" t="n">
        <v>45924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8222-2025</t>
        </is>
      </c>
      <c r="B395" s="1" t="n">
        <v>45708.46113425926</v>
      </c>
      <c r="C395" s="1" t="n">
        <v>45924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23566-2025</t>
        </is>
      </c>
      <c r="B396" s="1" t="n">
        <v>45792.59854166667</v>
      </c>
      <c r="C396" s="1" t="n">
        <v>45924</v>
      </c>
      <c r="D396" t="inlineStr">
        <is>
          <t>KALMAR LÄN</t>
        </is>
      </c>
      <c r="E396" t="inlineStr">
        <is>
          <t>MÖNSTERÅS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23454-2025</t>
        </is>
      </c>
      <c r="B397" s="1" t="n">
        <v>45792.42443287037</v>
      </c>
      <c r="C397" s="1" t="n">
        <v>45924</v>
      </c>
      <c r="D397" t="inlineStr">
        <is>
          <t>KALMAR LÄN</t>
        </is>
      </c>
      <c r="E397" t="inlineStr">
        <is>
          <t>MÖNSTERÅS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2025-09-24T10:12:00Z</dcterms:created>
  <dcterms:modified xmlns:dcterms="http://purl.org/dc/terms/" xmlns:xsi="http://www.w3.org/2001/XMLSchema-instance" xsi:type="dcterms:W3CDTF">2025-09-24T10:12:00Z</dcterms:modified>
</cp:coreProperties>
</file>
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45672</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45672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45672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45672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45672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45672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61003-2024</t>
        </is>
      </c>
      <c r="B8" s="1" t="n">
        <v>45645</v>
      </c>
      <c r="C8" s="1" t="n">
        <v>45672</v>
      </c>
      <c r="D8" t="inlineStr">
        <is>
          <t>KALMAR LÄN</t>
        </is>
      </c>
      <c r="E8" t="inlineStr">
        <is>
          <t>MÖNSTERÅS</t>
        </is>
      </c>
      <c r="F8" t="inlineStr">
        <is>
          <t>Kommuner</t>
        </is>
      </c>
      <c r="G8" t="n">
        <v>6</v>
      </c>
      <c r="H8" t="n">
        <v>10</v>
      </c>
      <c r="I8" t="n">
        <v>0</v>
      </c>
      <c r="J8" t="n">
        <v>4</v>
      </c>
      <c r="K8" t="n">
        <v>1</v>
      </c>
      <c r="L8" t="n">
        <v>0</v>
      </c>
      <c r="M8" t="n">
        <v>0</v>
      </c>
      <c r="N8" t="n">
        <v>0</v>
      </c>
      <c r="O8" t="n">
        <v>5</v>
      </c>
      <c r="P8" t="n">
        <v>1</v>
      </c>
      <c r="Q8" t="n">
        <v>10</v>
      </c>
      <c r="R8" s="2" t="inlineStr">
        <is>
          <t>Knärot
Barbastell
Brunlångöra
Nordfladdermus
Spillkråka
Dvärgpipistrell
Gråskimlig fladdermus
Större brunfladdermus
Tjäder
Trollpipistrell</t>
        </is>
      </c>
      <c r="S8">
        <f>HYPERLINK("https://klasma.github.io/Logging_0861/artfynd/A 61003-2024 artfynd.xlsx", "A 61003-2024")</f>
        <v/>
      </c>
      <c r="T8">
        <f>HYPERLINK("https://klasma.github.io/Logging_0861/kartor/A 61003-2024 karta.png", "A 61003-2024")</f>
        <v/>
      </c>
      <c r="U8">
        <f>HYPERLINK("https://klasma.github.io/Logging_0861/knärot/A 61003-2024 karta knärot.png", "A 61003-2024")</f>
        <v/>
      </c>
      <c r="V8">
        <f>HYPERLINK("https://klasma.github.io/Logging_0861/klagomål/A 61003-2024 FSC-klagomål.docx", "A 61003-2024")</f>
        <v/>
      </c>
      <c r="W8">
        <f>HYPERLINK("https://klasma.github.io/Logging_0861/klagomålsmail/A 61003-2024 FSC-klagomål mail.docx", "A 61003-2024")</f>
        <v/>
      </c>
      <c r="X8">
        <f>HYPERLINK("https://klasma.github.io/Logging_0861/tillsyn/A 61003-2024 tillsynsbegäran.docx", "A 61003-2024")</f>
        <v/>
      </c>
      <c r="Y8">
        <f>HYPERLINK("https://klasma.github.io/Logging_0861/tillsynsmail/A 61003-2024 tillsynsbegäran mail.docx", "A 61003-2024")</f>
        <v/>
      </c>
      <c r="Z8">
        <f>HYPERLINK("https://klasma.github.io/Logging_0861/fåglar/A 61003-2024 prioriterade fågelarter.docx", "A 61003-2024")</f>
        <v/>
      </c>
    </row>
    <row r="9" ht="15" customHeight="1">
      <c r="A9" t="inlineStr">
        <is>
          <t>A 7475-2023</t>
        </is>
      </c>
      <c r="B9" s="1" t="n">
        <v>44971</v>
      </c>
      <c r="C9" s="1" t="n">
        <v>45672</v>
      </c>
      <c r="D9" t="inlineStr">
        <is>
          <t>KALMAR LÄN</t>
        </is>
      </c>
      <c r="E9" t="inlineStr">
        <is>
          <t>MÖNSTERÅS</t>
        </is>
      </c>
      <c r="G9" t="n">
        <v>3.3</v>
      </c>
      <c r="H9" t="n">
        <v>3</v>
      </c>
      <c r="I9" t="n">
        <v>3</v>
      </c>
      <c r="J9" t="n">
        <v>4</v>
      </c>
      <c r="K9" t="n">
        <v>2</v>
      </c>
      <c r="L9" t="n">
        <v>0</v>
      </c>
      <c r="M9" t="n">
        <v>0</v>
      </c>
      <c r="N9" t="n">
        <v>0</v>
      </c>
      <c r="O9" t="n">
        <v>6</v>
      </c>
      <c r="P9" t="n">
        <v>2</v>
      </c>
      <c r="Q9" t="n">
        <v>9</v>
      </c>
      <c r="R9" s="2" t="inlineStr">
        <is>
          <t>Knärot
Rynkskinn
Grönsångare
Spillkråka
Tallticka
Ullticka
Blåmossa
Grovticka
Grönpyrola</t>
        </is>
      </c>
      <c r="S9">
        <f>HYPERLINK("https://klasma.github.io/Logging_0861/artfynd/A 7475-2023 artfynd.xlsx", "A 7475-2023")</f>
        <v/>
      </c>
      <c r="T9">
        <f>HYPERLINK("https://klasma.github.io/Logging_0861/kartor/A 7475-2023 karta.png", "A 7475-2023")</f>
        <v/>
      </c>
      <c r="U9">
        <f>HYPERLINK("https://klasma.github.io/Logging_0861/knärot/A 7475-2023 karta knärot.png", "A 7475-2023")</f>
        <v/>
      </c>
      <c r="V9">
        <f>HYPERLINK("https://klasma.github.io/Logging_0861/klagomål/A 7475-2023 FSC-klagomål.docx", "A 7475-2023")</f>
        <v/>
      </c>
      <c r="W9">
        <f>HYPERLINK("https://klasma.github.io/Logging_0861/klagomålsmail/A 7475-2023 FSC-klagomål mail.docx", "A 7475-2023")</f>
        <v/>
      </c>
      <c r="X9">
        <f>HYPERLINK("https://klasma.github.io/Logging_0861/tillsyn/A 7475-2023 tillsynsbegäran.docx", "A 7475-2023")</f>
        <v/>
      </c>
      <c r="Y9">
        <f>HYPERLINK("https://klasma.github.io/Logging_0861/tillsynsmail/A 7475-2023 tillsynsbegäran mail.docx", "A 7475-2023")</f>
        <v/>
      </c>
      <c r="Z9">
        <f>HYPERLINK("https://klasma.github.io/Logging_0861/fåglar/A 7475-2023 prioriterade fågelarter.docx", "A 7475-2023")</f>
        <v/>
      </c>
    </row>
    <row r="10" ht="15" customHeight="1">
      <c r="A10" t="inlineStr">
        <is>
          <t>A 57473-2023</t>
        </is>
      </c>
      <c r="B10" s="1" t="n">
        <v>45246</v>
      </c>
      <c r="C10" s="1" t="n">
        <v>45672</v>
      </c>
      <c r="D10" t="inlineStr">
        <is>
          <t>KALMAR LÄN</t>
        </is>
      </c>
      <c r="E10" t="inlineStr">
        <is>
          <t>MÖNSTERÅS</t>
        </is>
      </c>
      <c r="G10" t="n">
        <v>6.1</v>
      </c>
      <c r="H10" t="n">
        <v>8</v>
      </c>
      <c r="I10" t="n">
        <v>1</v>
      </c>
      <c r="J10" t="n">
        <v>4</v>
      </c>
      <c r="K10" t="n">
        <v>1</v>
      </c>
      <c r="L10" t="n">
        <v>0</v>
      </c>
      <c r="M10" t="n">
        <v>0</v>
      </c>
      <c r="N10" t="n">
        <v>0</v>
      </c>
      <c r="O10" t="n">
        <v>5</v>
      </c>
      <c r="P10" t="n">
        <v>1</v>
      </c>
      <c r="Q10" t="n">
        <v>9</v>
      </c>
      <c r="R10" s="2" t="inlineStr">
        <is>
          <t>Knärot
Barbastell
Brunlångöra
Nordfladdermus
Spillkråka
Blåmossa
Dvärgpipistrell
Större brunfladdermus
Trollpipistrell</t>
        </is>
      </c>
      <c r="S10">
        <f>HYPERLINK("https://klasma.github.io/Logging_0861/artfynd/A 57473-2023 artfynd.xlsx", "A 57473-2023")</f>
        <v/>
      </c>
      <c r="T10">
        <f>HYPERLINK("https://klasma.github.io/Logging_0861/kartor/A 57473-2023 karta.png", "A 57473-2023")</f>
        <v/>
      </c>
      <c r="U10">
        <f>HYPERLINK("https://klasma.github.io/Logging_0861/knärot/A 57473-2023 karta knärot.png", "A 57473-2023")</f>
        <v/>
      </c>
      <c r="V10">
        <f>HYPERLINK("https://klasma.github.io/Logging_0861/klagomål/A 57473-2023 FSC-klagomål.docx", "A 57473-2023")</f>
        <v/>
      </c>
      <c r="W10">
        <f>HYPERLINK("https://klasma.github.io/Logging_0861/klagomålsmail/A 57473-2023 FSC-klagomål mail.docx", "A 57473-2023")</f>
        <v/>
      </c>
      <c r="X10">
        <f>HYPERLINK("https://klasma.github.io/Logging_0861/tillsyn/A 57473-2023 tillsynsbegäran.docx", "A 57473-2023")</f>
        <v/>
      </c>
      <c r="Y10">
        <f>HYPERLINK("https://klasma.github.io/Logging_0861/tillsynsmail/A 57473-2023 tillsynsbegäran mail.docx", "A 57473-2023")</f>
        <v/>
      </c>
      <c r="Z10">
        <f>HYPERLINK("https://klasma.github.io/Logging_0861/fåglar/A 57473-2023 prioriterade fågelarter.docx", "A 57473-2023")</f>
        <v/>
      </c>
    </row>
    <row r="11" ht="15" customHeight="1">
      <c r="A11" t="inlineStr">
        <is>
          <t>A 22913-2024</t>
        </is>
      </c>
      <c r="B11" s="1" t="n">
        <v>45448</v>
      </c>
      <c r="C11" s="1" t="n">
        <v>45672</v>
      </c>
      <c r="D11" t="inlineStr">
        <is>
          <t>KALMAR LÄN</t>
        </is>
      </c>
      <c r="E11" t="inlineStr">
        <is>
          <t>MÖNSTERÅS</t>
        </is>
      </c>
      <c r="G11" t="n">
        <v>14.7</v>
      </c>
      <c r="H11" t="n">
        <v>5</v>
      </c>
      <c r="I11" t="n">
        <v>4</v>
      </c>
      <c r="J11" t="n">
        <v>3</v>
      </c>
      <c r="K11" t="n">
        <v>1</v>
      </c>
      <c r="L11" t="n">
        <v>0</v>
      </c>
      <c r="M11" t="n">
        <v>0</v>
      </c>
      <c r="N11" t="n">
        <v>0</v>
      </c>
      <c r="O11" t="n">
        <v>4</v>
      </c>
      <c r="P11" t="n">
        <v>1</v>
      </c>
      <c r="Q11" t="n">
        <v>9</v>
      </c>
      <c r="R11" s="2" t="inlineStr">
        <is>
          <t>Knärot
Grönsångare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21915-2019</t>
        </is>
      </c>
      <c r="B12" s="1" t="n">
        <v>43584</v>
      </c>
      <c r="C12" s="1" t="n">
        <v>45672</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45672</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45672</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45672</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45672</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45672</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45672</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45672</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45672</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45672</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45672</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45672</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45672</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45672</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45672</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45672</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45672</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45672</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45672</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45672</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45672</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45672</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45672</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45672</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45672</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45672</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45672</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45672</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45672</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45672</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45672</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45672</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45672</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20970-2020</t>
        </is>
      </c>
      <c r="B45" s="1" t="n">
        <v>43950</v>
      </c>
      <c r="C45" s="1" t="n">
        <v>45672</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45672</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45672</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45672</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45672</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45672</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45672</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45672</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45672</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45672</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45672</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45672</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45672</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61561-2024</t>
        </is>
      </c>
      <c r="B58" s="1" t="n">
        <v>45646</v>
      </c>
      <c r="C58" s="1" t="n">
        <v>45672</v>
      </c>
      <c r="D58" t="inlineStr">
        <is>
          <t>KALMAR LÄN</t>
        </is>
      </c>
      <c r="E58" t="inlineStr">
        <is>
          <t>MÖNSTERÅS</t>
        </is>
      </c>
      <c r="G58" t="n">
        <v>2.7</v>
      </c>
      <c r="H58" t="n">
        <v>1</v>
      </c>
      <c r="I58" t="n">
        <v>1</v>
      </c>
      <c r="J58" t="n">
        <v>1</v>
      </c>
      <c r="K58" t="n">
        <v>0</v>
      </c>
      <c r="L58" t="n">
        <v>0</v>
      </c>
      <c r="M58" t="n">
        <v>0</v>
      </c>
      <c r="N58" t="n">
        <v>0</v>
      </c>
      <c r="O58" t="n">
        <v>1</v>
      </c>
      <c r="P58" t="n">
        <v>0</v>
      </c>
      <c r="Q58" t="n">
        <v>2</v>
      </c>
      <c r="R58" s="2" t="inlineStr">
        <is>
          <t>Mindre bastardsvärmare
Ekoxe</t>
        </is>
      </c>
      <c r="S58">
        <f>HYPERLINK("https://klasma.github.io/Logging_0861/artfynd/A 61561-2024 artfynd.xlsx", "A 61561-2024")</f>
        <v/>
      </c>
      <c r="T58">
        <f>HYPERLINK("https://klasma.github.io/Logging_0861/kartor/A 61561-2024 karta.png", "A 61561-2024")</f>
        <v/>
      </c>
      <c r="V58">
        <f>HYPERLINK("https://klasma.github.io/Logging_0861/klagomål/A 61561-2024 FSC-klagomål.docx", "A 61561-2024")</f>
        <v/>
      </c>
      <c r="W58">
        <f>HYPERLINK("https://klasma.github.io/Logging_0861/klagomålsmail/A 61561-2024 FSC-klagomål mail.docx", "A 61561-2024")</f>
        <v/>
      </c>
      <c r="X58">
        <f>HYPERLINK("https://klasma.github.io/Logging_0861/tillsyn/A 61561-2024 tillsynsbegäran.docx", "A 61561-2024")</f>
        <v/>
      </c>
      <c r="Y58">
        <f>HYPERLINK("https://klasma.github.io/Logging_0861/tillsynsmail/A 61561-2024 tillsynsbegäran mail.docx", "A 61561-2024")</f>
        <v/>
      </c>
    </row>
    <row r="59" ht="15" customHeight="1">
      <c r="A59" t="inlineStr">
        <is>
          <t>A 20056-2019</t>
        </is>
      </c>
      <c r="B59" s="1" t="n">
        <v>43570</v>
      </c>
      <c r="C59" s="1" t="n">
        <v>45672</v>
      </c>
      <c r="D59" t="inlineStr">
        <is>
          <t>KALMAR LÄN</t>
        </is>
      </c>
      <c r="E59" t="inlineStr">
        <is>
          <t>MÖNSTERÅS</t>
        </is>
      </c>
      <c r="G59" t="n">
        <v>3.6</v>
      </c>
      <c r="H59" t="n">
        <v>1</v>
      </c>
      <c r="I59" t="n">
        <v>0</v>
      </c>
      <c r="J59" t="n">
        <v>0</v>
      </c>
      <c r="K59" t="n">
        <v>0</v>
      </c>
      <c r="L59" t="n">
        <v>0</v>
      </c>
      <c r="M59" t="n">
        <v>0</v>
      </c>
      <c r="N59" t="n">
        <v>0</v>
      </c>
      <c r="O59" t="n">
        <v>0</v>
      </c>
      <c r="P59" t="n">
        <v>0</v>
      </c>
      <c r="Q59" t="n">
        <v>1</v>
      </c>
      <c r="R59" s="2" t="inlineStr">
        <is>
          <t>Fiskgjuse</t>
        </is>
      </c>
      <c r="S59">
        <f>HYPERLINK("https://klasma.github.io/Logging_0861/artfynd/A 20056-2019 artfynd.xlsx", "A 20056-2019")</f>
        <v/>
      </c>
      <c r="T59">
        <f>HYPERLINK("https://klasma.github.io/Logging_0861/kartor/A 20056-2019 karta.png", "A 20056-2019")</f>
        <v/>
      </c>
      <c r="V59">
        <f>HYPERLINK("https://klasma.github.io/Logging_0861/klagomål/A 20056-2019 FSC-klagomål.docx", "A 20056-2019")</f>
        <v/>
      </c>
      <c r="W59">
        <f>HYPERLINK("https://klasma.github.io/Logging_0861/klagomålsmail/A 20056-2019 FSC-klagomål mail.docx", "A 20056-2019")</f>
        <v/>
      </c>
      <c r="X59">
        <f>HYPERLINK("https://klasma.github.io/Logging_0861/tillsyn/A 20056-2019 tillsynsbegäran.docx", "A 20056-2019")</f>
        <v/>
      </c>
      <c r="Y59">
        <f>HYPERLINK("https://klasma.github.io/Logging_0861/tillsynsmail/A 20056-2019 tillsynsbegäran mail.docx", "A 20056-2019")</f>
        <v/>
      </c>
      <c r="Z59">
        <f>HYPERLINK("https://klasma.github.io/Logging_0861/fåglar/A 20056-2019 prioriterade fågelarter.docx", "A 20056-2019")</f>
        <v/>
      </c>
    </row>
    <row r="60" ht="15" customHeight="1">
      <c r="A60" t="inlineStr">
        <is>
          <t>A 27556-2019</t>
        </is>
      </c>
      <c r="B60" s="1" t="n">
        <v>43619</v>
      </c>
      <c r="C60" s="1" t="n">
        <v>45672</v>
      </c>
      <c r="D60" t="inlineStr">
        <is>
          <t>KALMAR LÄN</t>
        </is>
      </c>
      <c r="E60" t="inlineStr">
        <is>
          <t>MÖNSTERÅS</t>
        </is>
      </c>
      <c r="G60" t="n">
        <v>6.4</v>
      </c>
      <c r="H60" t="n">
        <v>1</v>
      </c>
      <c r="I60" t="n">
        <v>0</v>
      </c>
      <c r="J60" t="n">
        <v>1</v>
      </c>
      <c r="K60" t="n">
        <v>0</v>
      </c>
      <c r="L60" t="n">
        <v>0</v>
      </c>
      <c r="M60" t="n">
        <v>0</v>
      </c>
      <c r="N60" t="n">
        <v>0</v>
      </c>
      <c r="O60" t="n">
        <v>1</v>
      </c>
      <c r="P60" t="n">
        <v>0</v>
      </c>
      <c r="Q60" t="n">
        <v>1</v>
      </c>
      <c r="R60" s="2" t="inlineStr">
        <is>
          <t>Havsörn</t>
        </is>
      </c>
      <c r="S60">
        <f>HYPERLINK("https://klasma.github.io/Logging_0861/artfynd/A 27556-2019 artfynd.xlsx", "A 27556-2019")</f>
        <v/>
      </c>
      <c r="T60">
        <f>HYPERLINK("https://klasma.github.io/Logging_0861/kartor/A 27556-2019 karta.png", "A 27556-2019")</f>
        <v/>
      </c>
      <c r="V60">
        <f>HYPERLINK("https://klasma.github.io/Logging_0861/klagomål/A 27556-2019 FSC-klagomål.docx", "A 27556-2019")</f>
        <v/>
      </c>
      <c r="W60">
        <f>HYPERLINK("https://klasma.github.io/Logging_0861/klagomålsmail/A 27556-2019 FSC-klagomål mail.docx", "A 27556-2019")</f>
        <v/>
      </c>
      <c r="X60">
        <f>HYPERLINK("https://klasma.github.io/Logging_0861/tillsyn/A 27556-2019 tillsynsbegäran.docx", "A 27556-2019")</f>
        <v/>
      </c>
      <c r="Y60">
        <f>HYPERLINK("https://klasma.github.io/Logging_0861/tillsynsmail/A 27556-2019 tillsynsbegäran mail.docx", "A 27556-2019")</f>
        <v/>
      </c>
      <c r="Z60">
        <f>HYPERLINK("https://klasma.github.io/Logging_0861/fåglar/A 27556-2019 prioriterade fågelarter.docx", "A 27556-2019")</f>
        <v/>
      </c>
    </row>
    <row r="61" ht="15" customHeight="1">
      <c r="A61" t="inlineStr">
        <is>
          <t>A 34728-2019</t>
        </is>
      </c>
      <c r="B61" s="1" t="n">
        <v>43648</v>
      </c>
      <c r="C61" s="1" t="n">
        <v>45672</v>
      </c>
      <c r="D61" t="inlineStr">
        <is>
          <t>KALMAR LÄN</t>
        </is>
      </c>
      <c r="E61" t="inlineStr">
        <is>
          <t>MÖNSTERÅS</t>
        </is>
      </c>
      <c r="G61" t="n">
        <v>1</v>
      </c>
      <c r="H61" t="n">
        <v>0</v>
      </c>
      <c r="I61" t="n">
        <v>0</v>
      </c>
      <c r="J61" t="n">
        <v>1</v>
      </c>
      <c r="K61" t="n">
        <v>0</v>
      </c>
      <c r="L61" t="n">
        <v>0</v>
      </c>
      <c r="M61" t="n">
        <v>0</v>
      </c>
      <c r="N61" t="n">
        <v>0</v>
      </c>
      <c r="O61" t="n">
        <v>1</v>
      </c>
      <c r="P61" t="n">
        <v>0</v>
      </c>
      <c r="Q61" t="n">
        <v>1</v>
      </c>
      <c r="R61" s="2" t="inlineStr">
        <is>
          <t>Tallticka</t>
        </is>
      </c>
      <c r="S61">
        <f>HYPERLINK("https://klasma.github.io/Logging_0861/artfynd/A 34728-2019 artfynd.xlsx", "A 34728-2019")</f>
        <v/>
      </c>
      <c r="T61">
        <f>HYPERLINK("https://klasma.github.io/Logging_0861/kartor/A 34728-2019 karta.png", "A 34728-2019")</f>
        <v/>
      </c>
      <c r="V61">
        <f>HYPERLINK("https://klasma.github.io/Logging_0861/klagomål/A 34728-2019 FSC-klagomål.docx", "A 34728-2019")</f>
        <v/>
      </c>
      <c r="W61">
        <f>HYPERLINK("https://klasma.github.io/Logging_0861/klagomålsmail/A 34728-2019 FSC-klagomål mail.docx", "A 34728-2019")</f>
        <v/>
      </c>
      <c r="X61">
        <f>HYPERLINK("https://klasma.github.io/Logging_0861/tillsyn/A 34728-2019 tillsynsbegäran.docx", "A 34728-2019")</f>
        <v/>
      </c>
      <c r="Y61">
        <f>HYPERLINK("https://klasma.github.io/Logging_0861/tillsynsmail/A 34728-2019 tillsynsbegäran mail.docx", "A 34728-2019")</f>
        <v/>
      </c>
    </row>
    <row r="62" ht="15" customHeight="1">
      <c r="A62" t="inlineStr">
        <is>
          <t>A 41664-2019</t>
        </is>
      </c>
      <c r="B62" s="1" t="n">
        <v>43699</v>
      </c>
      <c r="C62" s="1" t="n">
        <v>45672</v>
      </c>
      <c r="D62" t="inlineStr">
        <is>
          <t>KALMAR LÄN</t>
        </is>
      </c>
      <c r="E62" t="inlineStr">
        <is>
          <t>MÖNSTERÅS</t>
        </is>
      </c>
      <c r="G62" t="n">
        <v>10.2</v>
      </c>
      <c r="H62" t="n">
        <v>0</v>
      </c>
      <c r="I62" t="n">
        <v>1</v>
      </c>
      <c r="J62" t="n">
        <v>0</v>
      </c>
      <c r="K62" t="n">
        <v>0</v>
      </c>
      <c r="L62" t="n">
        <v>0</v>
      </c>
      <c r="M62" t="n">
        <v>0</v>
      </c>
      <c r="N62" t="n">
        <v>0</v>
      </c>
      <c r="O62" t="n">
        <v>0</v>
      </c>
      <c r="P62" t="n">
        <v>0</v>
      </c>
      <c r="Q62" t="n">
        <v>1</v>
      </c>
      <c r="R62" s="2" t="inlineStr">
        <is>
          <t>Underviol</t>
        </is>
      </c>
      <c r="S62">
        <f>HYPERLINK("https://klasma.github.io/Logging_0861/artfynd/A 41664-2019 artfynd.xlsx", "A 41664-2019")</f>
        <v/>
      </c>
      <c r="T62">
        <f>HYPERLINK("https://klasma.github.io/Logging_0861/kartor/A 41664-2019 karta.png", "A 41664-2019")</f>
        <v/>
      </c>
      <c r="V62">
        <f>HYPERLINK("https://klasma.github.io/Logging_0861/klagomål/A 41664-2019 FSC-klagomål.docx", "A 41664-2019")</f>
        <v/>
      </c>
      <c r="W62">
        <f>HYPERLINK("https://klasma.github.io/Logging_0861/klagomålsmail/A 41664-2019 FSC-klagomål mail.docx", "A 41664-2019")</f>
        <v/>
      </c>
      <c r="X62">
        <f>HYPERLINK("https://klasma.github.io/Logging_0861/tillsyn/A 41664-2019 tillsynsbegäran.docx", "A 41664-2019")</f>
        <v/>
      </c>
      <c r="Y62">
        <f>HYPERLINK("https://klasma.github.io/Logging_0861/tillsynsmail/A 41664-2019 tillsynsbegäran mail.docx", "A 41664-2019")</f>
        <v/>
      </c>
    </row>
    <row r="63" ht="15" customHeight="1">
      <c r="A63" t="inlineStr">
        <is>
          <t>A 43503-2019</t>
        </is>
      </c>
      <c r="B63" s="1" t="n">
        <v>43706</v>
      </c>
      <c r="C63" s="1" t="n">
        <v>45672</v>
      </c>
      <c r="D63" t="inlineStr">
        <is>
          <t>KALMAR LÄN</t>
        </is>
      </c>
      <c r="E63" t="inlineStr">
        <is>
          <t>MÖNSTERÅS</t>
        </is>
      </c>
      <c r="G63" t="n">
        <v>7.5</v>
      </c>
      <c r="H63" t="n">
        <v>0</v>
      </c>
      <c r="I63" t="n">
        <v>0</v>
      </c>
      <c r="J63" t="n">
        <v>1</v>
      </c>
      <c r="K63" t="n">
        <v>0</v>
      </c>
      <c r="L63" t="n">
        <v>0</v>
      </c>
      <c r="M63" t="n">
        <v>0</v>
      </c>
      <c r="N63" t="n">
        <v>0</v>
      </c>
      <c r="O63" t="n">
        <v>1</v>
      </c>
      <c r="P63" t="n">
        <v>0</v>
      </c>
      <c r="Q63" t="n">
        <v>1</v>
      </c>
      <c r="R63" s="2" t="inlineStr">
        <is>
          <t>Ekgetingbock</t>
        </is>
      </c>
      <c r="S63">
        <f>HYPERLINK("https://klasma.github.io/Logging_0861/artfynd/A 43503-2019 artfynd.xlsx", "A 43503-2019")</f>
        <v/>
      </c>
      <c r="T63">
        <f>HYPERLINK("https://klasma.github.io/Logging_0861/kartor/A 43503-2019 karta.png", "A 43503-2019")</f>
        <v/>
      </c>
      <c r="V63">
        <f>HYPERLINK("https://klasma.github.io/Logging_0861/klagomål/A 43503-2019 FSC-klagomål.docx", "A 43503-2019")</f>
        <v/>
      </c>
      <c r="W63">
        <f>HYPERLINK("https://klasma.github.io/Logging_0861/klagomålsmail/A 43503-2019 FSC-klagomål mail.docx", "A 43503-2019")</f>
        <v/>
      </c>
      <c r="X63">
        <f>HYPERLINK("https://klasma.github.io/Logging_0861/tillsyn/A 43503-2019 tillsynsbegäran.docx", "A 43503-2019")</f>
        <v/>
      </c>
      <c r="Y63">
        <f>HYPERLINK("https://klasma.github.io/Logging_0861/tillsynsmail/A 43503-2019 tillsynsbegäran mail.docx", "A 43503-2019")</f>
        <v/>
      </c>
    </row>
    <row r="64" ht="15" customHeight="1">
      <c r="A64" t="inlineStr">
        <is>
          <t>A 57302-2019</t>
        </is>
      </c>
      <c r="B64" s="1" t="n">
        <v>43760</v>
      </c>
      <c r="C64" s="1" t="n">
        <v>45672</v>
      </c>
      <c r="D64" t="inlineStr">
        <is>
          <t>KALMAR LÄN</t>
        </is>
      </c>
      <c r="E64" t="inlineStr">
        <is>
          <t>MÖNSTERÅS</t>
        </is>
      </c>
      <c r="G64" t="n">
        <v>11.3</v>
      </c>
      <c r="H64" t="n">
        <v>0</v>
      </c>
      <c r="I64" t="n">
        <v>0</v>
      </c>
      <c r="J64" t="n">
        <v>1</v>
      </c>
      <c r="K64" t="n">
        <v>0</v>
      </c>
      <c r="L64" t="n">
        <v>0</v>
      </c>
      <c r="M64" t="n">
        <v>0</v>
      </c>
      <c r="N64" t="n">
        <v>0</v>
      </c>
      <c r="O64" t="n">
        <v>1</v>
      </c>
      <c r="P64" t="n">
        <v>0</v>
      </c>
      <c r="Q64" t="n">
        <v>1</v>
      </c>
      <c r="R64" s="2" t="inlineStr">
        <is>
          <t>Spetspraktbagge</t>
        </is>
      </c>
      <c r="S64">
        <f>HYPERLINK("https://klasma.github.io/Logging_0861/artfynd/A 57302-2019 artfynd.xlsx", "A 57302-2019")</f>
        <v/>
      </c>
      <c r="T64">
        <f>HYPERLINK("https://klasma.github.io/Logging_0861/kartor/A 57302-2019 karta.png", "A 57302-2019")</f>
        <v/>
      </c>
      <c r="V64">
        <f>HYPERLINK("https://klasma.github.io/Logging_0861/klagomål/A 57302-2019 FSC-klagomål.docx", "A 57302-2019")</f>
        <v/>
      </c>
      <c r="W64">
        <f>HYPERLINK("https://klasma.github.io/Logging_0861/klagomålsmail/A 57302-2019 FSC-klagomål mail.docx", "A 57302-2019")</f>
        <v/>
      </c>
      <c r="X64">
        <f>HYPERLINK("https://klasma.github.io/Logging_0861/tillsyn/A 57302-2019 tillsynsbegäran.docx", "A 57302-2019")</f>
        <v/>
      </c>
      <c r="Y64">
        <f>HYPERLINK("https://klasma.github.io/Logging_0861/tillsynsmail/A 57302-2019 tillsynsbegäran mail.docx", "A 57302-2019")</f>
        <v/>
      </c>
    </row>
    <row r="65" ht="15" customHeight="1">
      <c r="A65" t="inlineStr">
        <is>
          <t>A 65105-2019</t>
        </is>
      </c>
      <c r="B65" s="1" t="n">
        <v>43802</v>
      </c>
      <c r="C65" s="1" t="n">
        <v>45672</v>
      </c>
      <c r="D65" t="inlineStr">
        <is>
          <t>KALMAR LÄN</t>
        </is>
      </c>
      <c r="E65" t="inlineStr">
        <is>
          <t>MÖNSTERÅS</t>
        </is>
      </c>
      <c r="G65" t="n">
        <v>11.6</v>
      </c>
      <c r="H65" t="n">
        <v>0</v>
      </c>
      <c r="I65" t="n">
        <v>1</v>
      </c>
      <c r="J65" t="n">
        <v>0</v>
      </c>
      <c r="K65" t="n">
        <v>0</v>
      </c>
      <c r="L65" t="n">
        <v>0</v>
      </c>
      <c r="M65" t="n">
        <v>0</v>
      </c>
      <c r="N65" t="n">
        <v>0</v>
      </c>
      <c r="O65" t="n">
        <v>0</v>
      </c>
      <c r="P65" t="n">
        <v>0</v>
      </c>
      <c r="Q65" t="n">
        <v>1</v>
      </c>
      <c r="R65" s="2" t="inlineStr">
        <is>
          <t>Grönpyrola</t>
        </is>
      </c>
      <c r="S65">
        <f>HYPERLINK("https://klasma.github.io/Logging_0861/artfynd/A 65105-2019 artfynd.xlsx", "A 65105-2019")</f>
        <v/>
      </c>
      <c r="T65">
        <f>HYPERLINK("https://klasma.github.io/Logging_0861/kartor/A 65105-2019 karta.png", "A 65105-2019")</f>
        <v/>
      </c>
      <c r="V65">
        <f>HYPERLINK("https://klasma.github.io/Logging_0861/klagomål/A 65105-2019 FSC-klagomål.docx", "A 65105-2019")</f>
        <v/>
      </c>
      <c r="W65">
        <f>HYPERLINK("https://klasma.github.io/Logging_0861/klagomålsmail/A 65105-2019 FSC-klagomål mail.docx", "A 65105-2019")</f>
        <v/>
      </c>
      <c r="X65">
        <f>HYPERLINK("https://klasma.github.io/Logging_0861/tillsyn/A 65105-2019 tillsynsbegäran.docx", "A 65105-2019")</f>
        <v/>
      </c>
      <c r="Y65">
        <f>HYPERLINK("https://klasma.github.io/Logging_0861/tillsynsmail/A 65105-2019 tillsynsbegäran mail.docx", "A 65105-2019")</f>
        <v/>
      </c>
    </row>
    <row r="66" ht="15" customHeight="1">
      <c r="A66" t="inlineStr">
        <is>
          <t>A 69121-2019</t>
        </is>
      </c>
      <c r="B66" s="1" t="n">
        <v>43815</v>
      </c>
      <c r="C66" s="1" t="n">
        <v>45672</v>
      </c>
      <c r="D66" t="inlineStr">
        <is>
          <t>KALMAR LÄN</t>
        </is>
      </c>
      <c r="E66" t="inlineStr">
        <is>
          <t>MÖNSTERÅS</t>
        </is>
      </c>
      <c r="F66" t="inlineStr">
        <is>
          <t>Övriga Aktiebolag</t>
        </is>
      </c>
      <c r="G66" t="n">
        <v>0.9</v>
      </c>
      <c r="H66" t="n">
        <v>0</v>
      </c>
      <c r="I66" t="n">
        <v>0</v>
      </c>
      <c r="J66" t="n">
        <v>1</v>
      </c>
      <c r="K66" t="n">
        <v>0</v>
      </c>
      <c r="L66" t="n">
        <v>0</v>
      </c>
      <c r="M66" t="n">
        <v>0</v>
      </c>
      <c r="N66" t="n">
        <v>0</v>
      </c>
      <c r="O66" t="n">
        <v>1</v>
      </c>
      <c r="P66" t="n">
        <v>0</v>
      </c>
      <c r="Q66" t="n">
        <v>1</v>
      </c>
      <c r="R66" s="2" t="inlineStr">
        <is>
          <t>Skogslysing</t>
        </is>
      </c>
      <c r="S66">
        <f>HYPERLINK("https://klasma.github.io/Logging_0861/artfynd/A 69121-2019 artfynd.xlsx", "A 69121-2019")</f>
        <v/>
      </c>
      <c r="T66">
        <f>HYPERLINK("https://klasma.github.io/Logging_0861/kartor/A 69121-2019 karta.png", "A 69121-2019")</f>
        <v/>
      </c>
      <c r="V66">
        <f>HYPERLINK("https://klasma.github.io/Logging_0861/klagomål/A 69121-2019 FSC-klagomål.docx", "A 69121-2019")</f>
        <v/>
      </c>
      <c r="W66">
        <f>HYPERLINK("https://klasma.github.io/Logging_0861/klagomålsmail/A 69121-2019 FSC-klagomål mail.docx", "A 69121-2019")</f>
        <v/>
      </c>
      <c r="X66">
        <f>HYPERLINK("https://klasma.github.io/Logging_0861/tillsyn/A 69121-2019 tillsynsbegäran.docx", "A 69121-2019")</f>
        <v/>
      </c>
      <c r="Y66">
        <f>HYPERLINK("https://klasma.github.io/Logging_0861/tillsynsmail/A 69121-2019 tillsynsbegäran mail.docx", "A 69121-2019")</f>
        <v/>
      </c>
    </row>
    <row r="67" ht="15" customHeight="1">
      <c r="A67" t="inlineStr">
        <is>
          <t>A 5038-2020</t>
        </is>
      </c>
      <c r="B67" s="1" t="n">
        <v>43859</v>
      </c>
      <c r="C67" s="1" t="n">
        <v>45672</v>
      </c>
      <c r="D67" t="inlineStr">
        <is>
          <t>KALMAR LÄN</t>
        </is>
      </c>
      <c r="E67" t="inlineStr">
        <is>
          <t>MÖNSTERÅS</t>
        </is>
      </c>
      <c r="G67" t="n">
        <v>13.6</v>
      </c>
      <c r="H67" t="n">
        <v>1</v>
      </c>
      <c r="I67" t="n">
        <v>0</v>
      </c>
      <c r="J67" t="n">
        <v>0</v>
      </c>
      <c r="K67" t="n">
        <v>1</v>
      </c>
      <c r="L67" t="n">
        <v>0</v>
      </c>
      <c r="M67" t="n">
        <v>0</v>
      </c>
      <c r="N67" t="n">
        <v>0</v>
      </c>
      <c r="O67" t="n">
        <v>1</v>
      </c>
      <c r="P67" t="n">
        <v>1</v>
      </c>
      <c r="Q67" t="n">
        <v>1</v>
      </c>
      <c r="R67" s="2" t="inlineStr">
        <is>
          <t>Knärot</t>
        </is>
      </c>
      <c r="S67">
        <f>HYPERLINK("https://klasma.github.io/Logging_0861/artfynd/A 5038-2020 artfynd.xlsx", "A 5038-2020")</f>
        <v/>
      </c>
      <c r="T67">
        <f>HYPERLINK("https://klasma.github.io/Logging_0861/kartor/A 5038-2020 karta.png", "A 5038-2020")</f>
        <v/>
      </c>
      <c r="U67">
        <f>HYPERLINK("https://klasma.github.io/Logging_0861/knärot/A 5038-2020 karta knärot.png", "A 5038-2020")</f>
        <v/>
      </c>
      <c r="V67">
        <f>HYPERLINK("https://klasma.github.io/Logging_0861/klagomål/A 5038-2020 FSC-klagomål.docx", "A 5038-2020")</f>
        <v/>
      </c>
      <c r="W67">
        <f>HYPERLINK("https://klasma.github.io/Logging_0861/klagomålsmail/A 5038-2020 FSC-klagomål mail.docx", "A 5038-2020")</f>
        <v/>
      </c>
      <c r="X67">
        <f>HYPERLINK("https://klasma.github.io/Logging_0861/tillsyn/A 5038-2020 tillsynsbegäran.docx", "A 5038-2020")</f>
        <v/>
      </c>
      <c r="Y67">
        <f>HYPERLINK("https://klasma.github.io/Logging_0861/tillsynsmail/A 5038-2020 tillsynsbegäran mail.docx", "A 5038-2020")</f>
        <v/>
      </c>
    </row>
    <row r="68" ht="15" customHeight="1">
      <c r="A68" t="inlineStr">
        <is>
          <t>A 7371-2020</t>
        </is>
      </c>
      <c r="B68" s="1" t="n">
        <v>43871</v>
      </c>
      <c r="C68" s="1" t="n">
        <v>45672</v>
      </c>
      <c r="D68" t="inlineStr">
        <is>
          <t>KALMAR LÄN</t>
        </is>
      </c>
      <c r="E68" t="inlineStr">
        <is>
          <t>MÖNSTERÅS</t>
        </is>
      </c>
      <c r="G68" t="n">
        <v>7.1</v>
      </c>
      <c r="H68" t="n">
        <v>0</v>
      </c>
      <c r="I68" t="n">
        <v>0</v>
      </c>
      <c r="J68" t="n">
        <v>1</v>
      </c>
      <c r="K68" t="n">
        <v>0</v>
      </c>
      <c r="L68" t="n">
        <v>0</v>
      </c>
      <c r="M68" t="n">
        <v>0</v>
      </c>
      <c r="N68" t="n">
        <v>0</v>
      </c>
      <c r="O68" t="n">
        <v>1</v>
      </c>
      <c r="P68" t="n">
        <v>0</v>
      </c>
      <c r="Q68" t="n">
        <v>1</v>
      </c>
      <c r="R68" s="2" t="inlineStr">
        <is>
          <t>Rödbrun blankbock</t>
        </is>
      </c>
      <c r="S68">
        <f>HYPERLINK("https://klasma.github.io/Logging_0861/artfynd/A 7371-2020 artfynd.xlsx", "A 7371-2020")</f>
        <v/>
      </c>
      <c r="T68">
        <f>HYPERLINK("https://klasma.github.io/Logging_0861/kartor/A 7371-2020 karta.png", "A 7371-2020")</f>
        <v/>
      </c>
      <c r="V68">
        <f>HYPERLINK("https://klasma.github.io/Logging_0861/klagomål/A 7371-2020 FSC-klagomål.docx", "A 7371-2020")</f>
        <v/>
      </c>
      <c r="W68">
        <f>HYPERLINK("https://klasma.github.io/Logging_0861/klagomålsmail/A 7371-2020 FSC-klagomål mail.docx", "A 7371-2020")</f>
        <v/>
      </c>
      <c r="X68">
        <f>HYPERLINK("https://klasma.github.io/Logging_0861/tillsyn/A 7371-2020 tillsynsbegäran.docx", "A 7371-2020")</f>
        <v/>
      </c>
      <c r="Y68">
        <f>HYPERLINK("https://klasma.github.io/Logging_0861/tillsynsmail/A 7371-2020 tillsynsbegäran mail.docx", "A 7371-2020")</f>
        <v/>
      </c>
    </row>
    <row r="69" ht="15" customHeight="1">
      <c r="A69" t="inlineStr">
        <is>
          <t>A 8898-2020</t>
        </is>
      </c>
      <c r="B69" s="1" t="n">
        <v>43878</v>
      </c>
      <c r="C69" s="1" t="n">
        <v>45672</v>
      </c>
      <c r="D69" t="inlineStr">
        <is>
          <t>KALMAR LÄN</t>
        </is>
      </c>
      <c r="E69" t="inlineStr">
        <is>
          <t>MÖNSTERÅS</t>
        </is>
      </c>
      <c r="G69" t="n">
        <v>5.1</v>
      </c>
      <c r="H69" t="n">
        <v>1</v>
      </c>
      <c r="I69" t="n">
        <v>0</v>
      </c>
      <c r="J69" t="n">
        <v>0</v>
      </c>
      <c r="K69" t="n">
        <v>0</v>
      </c>
      <c r="L69" t="n">
        <v>0</v>
      </c>
      <c r="M69" t="n">
        <v>0</v>
      </c>
      <c r="N69" t="n">
        <v>0</v>
      </c>
      <c r="O69" t="n">
        <v>0</v>
      </c>
      <c r="P69" t="n">
        <v>0</v>
      </c>
      <c r="Q69" t="n">
        <v>1</v>
      </c>
      <c r="R69" s="2" t="inlineStr">
        <is>
          <t>Nattviol</t>
        </is>
      </c>
      <c r="S69">
        <f>HYPERLINK("https://klasma.github.io/Logging_0861/artfynd/A 8898-2020 artfynd.xlsx", "A 8898-2020")</f>
        <v/>
      </c>
      <c r="T69">
        <f>HYPERLINK("https://klasma.github.io/Logging_0861/kartor/A 8898-2020 karta.png", "A 8898-2020")</f>
        <v/>
      </c>
      <c r="V69">
        <f>HYPERLINK("https://klasma.github.io/Logging_0861/klagomål/A 8898-2020 FSC-klagomål.docx", "A 8898-2020")</f>
        <v/>
      </c>
      <c r="W69">
        <f>HYPERLINK("https://klasma.github.io/Logging_0861/klagomålsmail/A 8898-2020 FSC-klagomål mail.docx", "A 8898-2020")</f>
        <v/>
      </c>
      <c r="X69">
        <f>HYPERLINK("https://klasma.github.io/Logging_0861/tillsyn/A 8898-2020 tillsynsbegäran.docx", "A 8898-2020")</f>
        <v/>
      </c>
      <c r="Y69">
        <f>HYPERLINK("https://klasma.github.io/Logging_0861/tillsynsmail/A 8898-2020 tillsynsbegäran mail.docx", "A 8898-2020")</f>
        <v/>
      </c>
    </row>
    <row r="70" ht="15" customHeight="1">
      <c r="A70" t="inlineStr">
        <is>
          <t>A 29616-2020</t>
        </is>
      </c>
      <c r="B70" s="1" t="n">
        <v>44004</v>
      </c>
      <c r="C70" s="1" t="n">
        <v>45672</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45672</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45672</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45672</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45672</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45672</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45672</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45672</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45672</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45672</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45672</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45672</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45672</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45672</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45672</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45672</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45672</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45672</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45672</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45672</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45672</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45672</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45672</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45672</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45672</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45672</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45672</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45672</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45672</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45672</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45672</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45672</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45672</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45672</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45672</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45672</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45672</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45672</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45672</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45672</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45672</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45672</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45672</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45672</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45672</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45672</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45672</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45672</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45672</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45672</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45672</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45672</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45672</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45672</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45672</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45672</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45672</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45672</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45672</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45672</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45672</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45672</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45672</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45672</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45672</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45672</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45672</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45672</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45672</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45672</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45672</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45672</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45672</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45672</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45672</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45672</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45672</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45672</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45672</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45672</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45672</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45672</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45672</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45672</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45672</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45672</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45672</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45672</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45672</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45672</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45672</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45672</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45672</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45672</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45672</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45672</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45672</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45672</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45672</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45672</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45672</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45672</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45672</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45672</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45672</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45672</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45672</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45672</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45672</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45672</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45672</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45672</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45672</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45672</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45672</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45672</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45672</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45672</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45672</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45672</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45672</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45672</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45672</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45672</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45672</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45672</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45672</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45672</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45672</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45672</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45672</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45672</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45672</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45672</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45672</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45672</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45672</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45672</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45672</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45672</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45672</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45672</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45672</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45672</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45672</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45672</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45672</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45672</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45672</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45672</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45672</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45672</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45672</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45672</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45672</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45672</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45672</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45672</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45672</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45672</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45672</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45672</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45672</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45672</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45672</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45672</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45672</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45672</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45672</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45672</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45672</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45672</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45672</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45672</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45672</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45672</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45672</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45672</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45672</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45672</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45672</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45672</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45672</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45672</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45672</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45672</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45672</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45672</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45672</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45672</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45672</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45672</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45672</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45672</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45672</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45672</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45672</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45672</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45672</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45672</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45672</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45672</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45672</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45672</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45672</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45672</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45672</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45672</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45672</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45672</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45672</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45672</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45672</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45672</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45672</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45672</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45672</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45672</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45672</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45672</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45672</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45672</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45672</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45672</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45672</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45672</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45672</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45672</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45672</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45672</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45672</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45672</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45672</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45672</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45672</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45672</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45672</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45672</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45672</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45672</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45672</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45672</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45672</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45672</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45672</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45672</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45672</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45672</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45672</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45672</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45672</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45672</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45672</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45672</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45672</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45672</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45672</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45672</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45672</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45672</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45672</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45672</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45672</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45672</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45672</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45672</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45672</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45672</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45672</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45672</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45672</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45672</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45672</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45672</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45672</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45672</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45672</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45672</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45672</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45672</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45672</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45672</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45672</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45672</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45672</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45672</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45672</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45672</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45672</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45672</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45672</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45672</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45672</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45672</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45672</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45672</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45672</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45672</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45672</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45672</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45672</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45672</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45672</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45672</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45672</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45672</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45672</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45672</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45672</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45672</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45672</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45672</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45672</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45672</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45672</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45672</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45672</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45672</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45672</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45672</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45672</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45672</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45672</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45672</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45672</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45672</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45672</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45672</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45672</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45672</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45672</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45672</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45672</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45672</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45672</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45672</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45672</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45672</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45672</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45672</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45672</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45672</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45672</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45672</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45672</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45672</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45672</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45672</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45672</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45672</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45672</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45672</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45672</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45672</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45672</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45672</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45672</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45672</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45672</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45672</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45672</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45672</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45672</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45672</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45672</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45672</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45672</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45672</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45672</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45672</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45672</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45672</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45672</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45672</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45672</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45672</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45672</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45672</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45672</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45672</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45672</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45672</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45672</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45672</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45672</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45672</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45672</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45672</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45672</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45672</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45672</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45672</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45672</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45672</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45672</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45672</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45672</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45672</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45672</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45672</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45672</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45672</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45672</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45672</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45672</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45672</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45672</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45672</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45672</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45672</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45672</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45672</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45672</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45672</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45672</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45672</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45672</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45672</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45672</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45672</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45672</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45672</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45672</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45672</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45672</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45672</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45672</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45672</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45672</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45672</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45672</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45672</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45672</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45672</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45672</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45672</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45672</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45672</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45672</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45672</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45672</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45672</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45672</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45672</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45672</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45672</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45672</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45672</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45672</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45672</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45672</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45672</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45672</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45672</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45672</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45672</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45672</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45672</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45672</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45672</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45672</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45672</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45672</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45672</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45672</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45672</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45672</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45672</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45672</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45672</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45672</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45672</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45672</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45672</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45672</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45672</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45672</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45672</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45672</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45672</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45672</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45672</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45672</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45672</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45672</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45672</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45672</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45672</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45672</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45672</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45672</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45672</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45672</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45672</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45672</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45672</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45672</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45672</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45672</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45672</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45672</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45672</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45672</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45672</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45672</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45672</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45672</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45672</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45672</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45672</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45672</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45672</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45672</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45672</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45672</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45672</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45672</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45672</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45672</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45672</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45672</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45672</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45672</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45672</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45672</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45672</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45672</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45672</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45672</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45672</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45672</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45672</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45672</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45672</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45672</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45672</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45672</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45672</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45672</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45672</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45672</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45672</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45672</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45672</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45672</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45672</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45672</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45672</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45672</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45672</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45672</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45672</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45672</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45672</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45672</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45672</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45672</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45672</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45672</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45672</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45672</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45672</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45672</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45672</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45672</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45672</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45672</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45672</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45672</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45672</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45672</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45672</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45672</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45672</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45672</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45672</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45672</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45672</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45672</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45672</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45672</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45672</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45672</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45672</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45672</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45672</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45672</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45672</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45672</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45672</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45672</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45672</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45672</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45672</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45672</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45672</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45672</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45672</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45672</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45672</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45672</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45672</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45672</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45672</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45672</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45672</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45672</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45672</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45672</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45672</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45672</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45672</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45672</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45672</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45672</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45672</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45672</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45672</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45672</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45672</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45672</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45672</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45672</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45672</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45672</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45672</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45672</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45672</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45672</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45672</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45672</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45672</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45672</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45672</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45672</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45672</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45672</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45672</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45672</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45672</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45672</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45672</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45672</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45672</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45672</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45672</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45672</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45672</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45672</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45672</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45672</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45672</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45672</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45672</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45672</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45672</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45672</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45672</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45672</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45672</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45672</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45672</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45672</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45672</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45672</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45672</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45672</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45672</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45672</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45672</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45672</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45672</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45672</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45672</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45672</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45672</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45672</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45672</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45672</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45672</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45672</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45672</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45672</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45672</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45672</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45672</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45672</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45672</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45672</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45672</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45672</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45672</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45672</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45672</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45672</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45672</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45672</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45672</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45672</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45672</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45672</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45672</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45672</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45672</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45672</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45672</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45672</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45672</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45672</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45672</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45672</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45672</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45672</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45672</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45672</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45672</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45672</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45672</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45672</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45672</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45672</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45672</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45672</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45672</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45672</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45672</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45672</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45672</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45672</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ht="15" customHeight="1">
      <c r="A799" t="inlineStr">
        <is>
          <t>A 61749-2024</t>
        </is>
      </c>
      <c r="B799" s="1" t="n">
        <v>45649</v>
      </c>
      <c r="C799" s="1" t="n">
        <v>45672</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1613-2025</t>
        </is>
      </c>
      <c r="B800" s="1" t="n">
        <v>45670</v>
      </c>
      <c r="C800" s="1" t="n">
        <v>45672</v>
      </c>
      <c r="D800" t="inlineStr">
        <is>
          <t>KALMAR LÄN</t>
        </is>
      </c>
      <c r="E800" t="inlineStr">
        <is>
          <t>MÖNSTERÅS</t>
        </is>
      </c>
      <c r="G800" t="n">
        <v>7.9</v>
      </c>
      <c r="H800" t="n">
        <v>0</v>
      </c>
      <c r="I800" t="n">
        <v>0</v>
      </c>
      <c r="J800" t="n">
        <v>0</v>
      </c>
      <c r="K800" t="n">
        <v>0</v>
      </c>
      <c r="L800" t="n">
        <v>0</v>
      </c>
      <c r="M800" t="n">
        <v>0</v>
      </c>
      <c r="N800" t="n">
        <v>0</v>
      </c>
      <c r="O800" t="n">
        <v>0</v>
      </c>
      <c r="P800" t="n">
        <v>0</v>
      </c>
      <c r="Q800" t="n">
        <v>0</v>
      </c>
      <c r="R800" s="2" t="inlineStr"/>
    </row>
    <row r="801">
      <c r="A801" t="inlineStr">
        <is>
          <t>A 1653-2025</t>
        </is>
      </c>
      <c r="B801" s="1" t="n">
        <v>45670</v>
      </c>
      <c r="C801" s="1" t="n">
        <v>45672</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2025-01-15T16:02:50Z</dcterms:created>
  <dcterms:modified xmlns:dcterms="http://purl.org/dc/terms/" xmlns:xsi="http://www.w3.org/2001/XMLSchema-instance" xsi:type="dcterms:W3CDTF">2025-01-15T16:02:51Z</dcterms:modified>
</cp:coreProperties>
</file>
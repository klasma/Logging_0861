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45650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45650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45650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45650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45650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45650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45650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45650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45650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45650</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45650</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45650</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45650</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45650</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45650</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45650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45650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45650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45650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45650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45650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45650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3238-2021</t>
        </is>
      </c>
      <c r="B24" s="1" t="n">
        <v>44215</v>
      </c>
      <c r="C24" s="1" t="n">
        <v>45650</v>
      </c>
      <c r="D24" t="inlineStr">
        <is>
          <t>KALMAR LÄN</t>
        </is>
      </c>
      <c r="E24" t="inlineStr">
        <is>
          <t>MÖNSTERÅS</t>
        </is>
      </c>
      <c r="G24" t="n">
        <v>17.1</v>
      </c>
      <c r="H24" t="n">
        <v>3</v>
      </c>
      <c r="I24" t="n">
        <v>1</v>
      </c>
      <c r="J24" t="n">
        <v>0</v>
      </c>
      <c r="K24" t="n">
        <v>0</v>
      </c>
      <c r="L24" t="n">
        <v>0</v>
      </c>
      <c r="M24" t="n">
        <v>0</v>
      </c>
      <c r="N24" t="n">
        <v>0</v>
      </c>
      <c r="O24" t="n">
        <v>0</v>
      </c>
      <c r="P24" t="n">
        <v>0</v>
      </c>
      <c r="Q24" t="n">
        <v>4</v>
      </c>
      <c r="R24" s="2" t="inlineStr">
        <is>
          <t>Granbarkgnagare
Dvärgpipistrell
Större brunfladdermus
Mattlummer</t>
        </is>
      </c>
      <c r="S24">
        <f>HYPERLINK("https://klasma.github.io/Logging_0861/artfynd/A 3238-2021 artfynd.xlsx", "A 3238-2021")</f>
        <v/>
      </c>
      <c r="T24">
        <f>HYPERLINK("https://klasma.github.io/Logging_0861/kartor/A 3238-2021 karta.png", "A 3238-2021")</f>
        <v/>
      </c>
      <c r="V24">
        <f>HYPERLINK("https://klasma.github.io/Logging_0861/klagomål/A 3238-2021 FSC-klagomål.docx", "A 3238-2021")</f>
        <v/>
      </c>
      <c r="W24">
        <f>HYPERLINK("https://klasma.github.io/Logging_0861/klagomålsmail/A 3238-2021 FSC-klagomål mail.docx", "A 3238-2021")</f>
        <v/>
      </c>
      <c r="X24">
        <f>HYPERLINK("https://klasma.github.io/Logging_0861/tillsyn/A 3238-2021 tillsynsbegäran.docx", "A 3238-2021")</f>
        <v/>
      </c>
      <c r="Y24">
        <f>HYPERLINK("https://klasma.github.io/Logging_0861/tillsynsmail/A 3238-2021 tillsynsbegäran mail.docx", "A 3238-2021")</f>
        <v/>
      </c>
    </row>
    <row r="25" ht="15" customHeight="1">
      <c r="A25" t="inlineStr">
        <is>
          <t>A 53167-2022</t>
        </is>
      </c>
      <c r="B25" s="1" t="n">
        <v>44873</v>
      </c>
      <c r="C25" s="1" t="n">
        <v>45650</v>
      </c>
      <c r="D25" t="inlineStr">
        <is>
          <t>KALMAR LÄN</t>
        </is>
      </c>
      <c r="E25" t="inlineStr">
        <is>
          <t>MÖNSTERÅS</t>
        </is>
      </c>
      <c r="F25" t="inlineStr">
        <is>
          <t>Kyrkan</t>
        </is>
      </c>
      <c r="G25" t="n">
        <v>2</v>
      </c>
      <c r="H25" t="n">
        <v>1</v>
      </c>
      <c r="I25" t="n">
        <v>3</v>
      </c>
      <c r="J25" t="n">
        <v>1</v>
      </c>
      <c r="K25" t="n">
        <v>0</v>
      </c>
      <c r="L25" t="n">
        <v>0</v>
      </c>
      <c r="M25" t="n">
        <v>0</v>
      </c>
      <c r="N25" t="n">
        <v>0</v>
      </c>
      <c r="O25" t="n">
        <v>1</v>
      </c>
      <c r="P25" t="n">
        <v>0</v>
      </c>
      <c r="Q25" t="n">
        <v>4</v>
      </c>
      <c r="R25" s="2" t="inlineStr">
        <is>
          <t>Spillkråka
Blåmossa
Flagellkvastmossa
Vågbandad barkbock</t>
        </is>
      </c>
      <c r="S25">
        <f>HYPERLINK("https://klasma.github.io/Logging_0861/artfynd/A 53167-2022 artfynd.xlsx", "A 53167-2022")</f>
        <v/>
      </c>
      <c r="T25">
        <f>HYPERLINK("https://klasma.github.io/Logging_0861/kartor/A 53167-2022 karta.png", "A 53167-2022")</f>
        <v/>
      </c>
      <c r="V25">
        <f>HYPERLINK("https://klasma.github.io/Logging_0861/klagomål/A 53167-2022 FSC-klagomål.docx", "A 53167-2022")</f>
        <v/>
      </c>
      <c r="W25">
        <f>HYPERLINK("https://klasma.github.io/Logging_0861/klagomålsmail/A 53167-2022 FSC-klagomål mail.docx", "A 53167-2022")</f>
        <v/>
      </c>
      <c r="X25">
        <f>HYPERLINK("https://klasma.github.io/Logging_0861/tillsyn/A 53167-2022 tillsynsbegäran.docx", "A 53167-2022")</f>
        <v/>
      </c>
      <c r="Y25">
        <f>HYPERLINK("https://klasma.github.io/Logging_0861/tillsynsmail/A 53167-2022 tillsynsbegäran mail.docx", "A 53167-2022")</f>
        <v/>
      </c>
      <c r="Z25">
        <f>HYPERLINK("https://klasma.github.io/Logging_0861/fåglar/A 53167-2022 prioriterade fågelarter.docx", "A 53167-2022")</f>
        <v/>
      </c>
    </row>
    <row r="26" ht="15" customHeight="1">
      <c r="A26" t="inlineStr">
        <is>
          <t>A 30705-2023</t>
        </is>
      </c>
      <c r="B26" s="1" t="n">
        <v>45103</v>
      </c>
      <c r="C26" s="1" t="n">
        <v>45650</v>
      </c>
      <c r="D26" t="inlineStr">
        <is>
          <t>KALMAR LÄN</t>
        </is>
      </c>
      <c r="E26" t="inlineStr">
        <is>
          <t>MÖNSTERÅS</t>
        </is>
      </c>
      <c r="G26" t="n">
        <v>1.6</v>
      </c>
      <c r="H26" t="n">
        <v>2</v>
      </c>
      <c r="I26" t="n">
        <v>1</v>
      </c>
      <c r="J26" t="n">
        <v>2</v>
      </c>
      <c r="K26" t="n">
        <v>1</v>
      </c>
      <c r="L26" t="n">
        <v>0</v>
      </c>
      <c r="M26" t="n">
        <v>0</v>
      </c>
      <c r="N26" t="n">
        <v>0</v>
      </c>
      <c r="O26" t="n">
        <v>3</v>
      </c>
      <c r="P26" t="n">
        <v>1</v>
      </c>
      <c r="Q26" t="n">
        <v>4</v>
      </c>
      <c r="R26" s="2" t="inlineStr">
        <is>
          <t>Knärot
Spillkråka
Ullticka
Brandticka</t>
        </is>
      </c>
      <c r="S26">
        <f>HYPERLINK("https://klasma.github.io/Logging_0861/artfynd/A 30705-2023 artfynd.xlsx", "A 30705-2023")</f>
        <v/>
      </c>
      <c r="T26">
        <f>HYPERLINK("https://klasma.github.io/Logging_0861/kartor/A 30705-2023 karta.png", "A 30705-2023")</f>
        <v/>
      </c>
      <c r="U26">
        <f>HYPERLINK("https://klasma.github.io/Logging_0861/knärot/A 30705-2023 karta knärot.png", "A 30705-2023")</f>
        <v/>
      </c>
      <c r="V26">
        <f>HYPERLINK("https://klasma.github.io/Logging_0861/klagomål/A 30705-2023 FSC-klagomål.docx", "A 30705-2023")</f>
        <v/>
      </c>
      <c r="W26">
        <f>HYPERLINK("https://klasma.github.io/Logging_0861/klagomålsmail/A 30705-2023 FSC-klagomål mail.docx", "A 30705-2023")</f>
        <v/>
      </c>
      <c r="X26">
        <f>HYPERLINK("https://klasma.github.io/Logging_0861/tillsyn/A 30705-2023 tillsynsbegäran.docx", "A 30705-2023")</f>
        <v/>
      </c>
      <c r="Y26">
        <f>HYPERLINK("https://klasma.github.io/Logging_0861/tillsynsmail/A 30705-2023 tillsynsbegäran mail.docx", "A 30705-2023")</f>
        <v/>
      </c>
      <c r="Z26">
        <f>HYPERLINK("https://klasma.github.io/Logging_0861/fåglar/A 30705-2023 prioriterade fågelarter.docx", "A 30705-2023")</f>
        <v/>
      </c>
    </row>
    <row r="27" ht="15" customHeight="1">
      <c r="A27" t="inlineStr">
        <is>
          <t>A 57471-2023</t>
        </is>
      </c>
      <c r="B27" s="1" t="n">
        <v>45246</v>
      </c>
      <c r="C27" s="1" t="n">
        <v>45650</v>
      </c>
      <c r="D27" t="inlineStr">
        <is>
          <t>KALMAR LÄN</t>
        </is>
      </c>
      <c r="E27" t="inlineStr">
        <is>
          <t>MÖNSTERÅS</t>
        </is>
      </c>
      <c r="G27" t="n">
        <v>10.5</v>
      </c>
      <c r="H27" t="n">
        <v>3</v>
      </c>
      <c r="I27" t="n">
        <v>1</v>
      </c>
      <c r="J27" t="n">
        <v>2</v>
      </c>
      <c r="K27" t="n">
        <v>1</v>
      </c>
      <c r="L27" t="n">
        <v>0</v>
      </c>
      <c r="M27" t="n">
        <v>0</v>
      </c>
      <c r="N27" t="n">
        <v>0</v>
      </c>
      <c r="O27" t="n">
        <v>3</v>
      </c>
      <c r="P27" t="n">
        <v>1</v>
      </c>
      <c r="Q27" t="n">
        <v>4</v>
      </c>
      <c r="R27" s="2" t="inlineStr">
        <is>
          <t>Knärot
Spillkråka
Talltita
Grönpyrola</t>
        </is>
      </c>
      <c r="S27">
        <f>HYPERLINK("https://klasma.github.io/Logging_0861/artfynd/A 57471-2023 artfynd.xlsx", "A 57471-2023")</f>
        <v/>
      </c>
      <c r="T27">
        <f>HYPERLINK("https://klasma.github.io/Logging_0861/kartor/A 57471-2023 karta.png", "A 57471-2023")</f>
        <v/>
      </c>
      <c r="U27">
        <f>HYPERLINK("https://klasma.github.io/Logging_0861/knärot/A 57471-2023 karta knärot.png", "A 57471-2023")</f>
        <v/>
      </c>
      <c r="V27">
        <f>HYPERLINK("https://klasma.github.io/Logging_0861/klagomål/A 57471-2023 FSC-klagomål.docx", "A 57471-2023")</f>
        <v/>
      </c>
      <c r="W27">
        <f>HYPERLINK("https://klasma.github.io/Logging_0861/klagomålsmail/A 57471-2023 FSC-klagomål mail.docx", "A 57471-2023")</f>
        <v/>
      </c>
      <c r="X27">
        <f>HYPERLINK("https://klasma.github.io/Logging_0861/tillsyn/A 57471-2023 tillsynsbegäran.docx", "A 57471-2023")</f>
        <v/>
      </c>
      <c r="Y27">
        <f>HYPERLINK("https://klasma.github.io/Logging_0861/tillsynsmail/A 57471-2023 tillsynsbegäran mail.docx", "A 57471-2023")</f>
        <v/>
      </c>
      <c r="Z27">
        <f>HYPERLINK("https://klasma.github.io/Logging_0861/fåglar/A 57471-2023 prioriterade fågelarter.docx", "A 57471-2023")</f>
        <v/>
      </c>
    </row>
    <row r="28" ht="15" customHeight="1">
      <c r="A28" t="inlineStr">
        <is>
          <t>A 3054-2024</t>
        </is>
      </c>
      <c r="B28" s="1" t="n">
        <v>45316</v>
      </c>
      <c r="C28" s="1" t="n">
        <v>45650</v>
      </c>
      <c r="D28" t="inlineStr">
        <is>
          <t>KALMAR LÄN</t>
        </is>
      </c>
      <c r="E28" t="inlineStr">
        <is>
          <t>MÖNSTERÅS</t>
        </is>
      </c>
      <c r="G28" t="n">
        <v>17.8</v>
      </c>
      <c r="H28" t="n">
        <v>2</v>
      </c>
      <c r="I28" t="n">
        <v>2</v>
      </c>
      <c r="J28" t="n">
        <v>1</v>
      </c>
      <c r="K28" t="n">
        <v>1</v>
      </c>
      <c r="L28" t="n">
        <v>0</v>
      </c>
      <c r="M28" t="n">
        <v>0</v>
      </c>
      <c r="N28" t="n">
        <v>0</v>
      </c>
      <c r="O28" t="n">
        <v>2</v>
      </c>
      <c r="P28" t="n">
        <v>1</v>
      </c>
      <c r="Q28" t="n">
        <v>4</v>
      </c>
      <c r="R28" s="2" t="inlineStr">
        <is>
          <t>Knärot
Spillkråka
Blåmossa
Grönpyrola</t>
        </is>
      </c>
      <c r="S28">
        <f>HYPERLINK("https://klasma.github.io/Logging_0861/artfynd/A 3054-2024 artfynd.xlsx", "A 3054-2024")</f>
        <v/>
      </c>
      <c r="T28">
        <f>HYPERLINK("https://klasma.github.io/Logging_0861/kartor/A 3054-2024 karta.png", "A 3054-2024")</f>
        <v/>
      </c>
      <c r="U28">
        <f>HYPERLINK("https://klasma.github.io/Logging_0861/knärot/A 3054-2024 karta knärot.png", "A 3054-2024")</f>
        <v/>
      </c>
      <c r="V28">
        <f>HYPERLINK("https://klasma.github.io/Logging_0861/klagomål/A 3054-2024 FSC-klagomål.docx", "A 3054-2024")</f>
        <v/>
      </c>
      <c r="W28">
        <f>HYPERLINK("https://klasma.github.io/Logging_0861/klagomålsmail/A 3054-2024 FSC-klagomål mail.docx", "A 3054-2024")</f>
        <v/>
      </c>
      <c r="X28">
        <f>HYPERLINK("https://klasma.github.io/Logging_0861/tillsyn/A 3054-2024 tillsynsbegäran.docx", "A 3054-2024")</f>
        <v/>
      </c>
      <c r="Y28">
        <f>HYPERLINK("https://klasma.github.io/Logging_0861/tillsynsmail/A 3054-2024 tillsynsbegäran mail.docx", "A 3054-2024")</f>
        <v/>
      </c>
      <c r="Z28">
        <f>HYPERLINK("https://klasma.github.io/Logging_0861/fåglar/A 3054-2024 prioriterade fågelarter.docx", "A 3054-2024")</f>
        <v/>
      </c>
    </row>
    <row r="29" ht="15" customHeight="1">
      <c r="A29" t="inlineStr">
        <is>
          <t>A 10179-2024</t>
        </is>
      </c>
      <c r="B29" s="1" t="n">
        <v>45364</v>
      </c>
      <c r="C29" s="1" t="n">
        <v>45650</v>
      </c>
      <c r="D29" t="inlineStr">
        <is>
          <t>KALMAR LÄN</t>
        </is>
      </c>
      <c r="E29" t="inlineStr">
        <is>
          <t>MÖNSTERÅS</t>
        </is>
      </c>
      <c r="F29" t="inlineStr">
        <is>
          <t>Övriga Aktiebolag</t>
        </is>
      </c>
      <c r="G29" t="n">
        <v>6.6</v>
      </c>
      <c r="H29" t="n">
        <v>4</v>
      </c>
      <c r="I29" t="n">
        <v>0</v>
      </c>
      <c r="J29" t="n">
        <v>1</v>
      </c>
      <c r="K29" t="n">
        <v>0</v>
      </c>
      <c r="L29" t="n">
        <v>0</v>
      </c>
      <c r="M29" t="n">
        <v>0</v>
      </c>
      <c r="N29" t="n">
        <v>0</v>
      </c>
      <c r="O29" t="n">
        <v>1</v>
      </c>
      <c r="P29" t="n">
        <v>0</v>
      </c>
      <c r="Q29" t="n">
        <v>4</v>
      </c>
      <c r="R29" s="2" t="inlineStr">
        <is>
          <t>Sydfladdermus
Dvärgpipistrell
Större brunfladdermus
Vattenfladdermus</t>
        </is>
      </c>
      <c r="S29">
        <f>HYPERLINK("https://klasma.github.io/Logging_0861/artfynd/A 10179-2024 artfynd.xlsx", "A 10179-2024")</f>
        <v/>
      </c>
      <c r="T29">
        <f>HYPERLINK("https://klasma.github.io/Logging_0861/kartor/A 10179-2024 karta.png", "A 10179-2024")</f>
        <v/>
      </c>
      <c r="V29">
        <f>HYPERLINK("https://klasma.github.io/Logging_0861/klagomål/A 10179-2024 FSC-klagomål.docx", "A 10179-2024")</f>
        <v/>
      </c>
      <c r="W29">
        <f>HYPERLINK("https://klasma.github.io/Logging_0861/klagomålsmail/A 10179-2024 FSC-klagomål mail.docx", "A 10179-2024")</f>
        <v/>
      </c>
      <c r="X29">
        <f>HYPERLINK("https://klasma.github.io/Logging_0861/tillsyn/A 10179-2024 tillsynsbegäran.docx", "A 10179-2024")</f>
        <v/>
      </c>
      <c r="Y29">
        <f>HYPERLINK("https://klasma.github.io/Logging_0861/tillsynsmail/A 10179-2024 tillsynsbegäran mail.docx", "A 10179-2024")</f>
        <v/>
      </c>
    </row>
    <row r="30" ht="15" customHeight="1">
      <c r="A30" t="inlineStr">
        <is>
          <t>A 15307-2024</t>
        </is>
      </c>
      <c r="B30" s="1" t="n">
        <v>45400</v>
      </c>
      <c r="C30" s="1" t="n">
        <v>45650</v>
      </c>
      <c r="D30" t="inlineStr">
        <is>
          <t>KALMAR LÄN</t>
        </is>
      </c>
      <c r="E30" t="inlineStr">
        <is>
          <t>MÖNSTERÅS</t>
        </is>
      </c>
      <c r="G30" t="n">
        <v>7</v>
      </c>
      <c r="H30" t="n">
        <v>3</v>
      </c>
      <c r="I30" t="n">
        <v>1</v>
      </c>
      <c r="J30" t="n">
        <v>1</v>
      </c>
      <c r="K30" t="n">
        <v>1</v>
      </c>
      <c r="L30" t="n">
        <v>0</v>
      </c>
      <c r="M30" t="n">
        <v>0</v>
      </c>
      <c r="N30" t="n">
        <v>0</v>
      </c>
      <c r="O30" t="n">
        <v>2</v>
      </c>
      <c r="P30" t="n">
        <v>1</v>
      </c>
      <c r="Q30" t="n">
        <v>4</v>
      </c>
      <c r="R30" s="2" t="inlineStr">
        <is>
          <t>Knärot
Spillkråka
Grönpyrola
Blåsippa</t>
        </is>
      </c>
      <c r="S30">
        <f>HYPERLINK("https://klasma.github.io/Logging_0861/artfynd/A 15307-2024 artfynd.xlsx", "A 15307-2024")</f>
        <v/>
      </c>
      <c r="T30">
        <f>HYPERLINK("https://klasma.github.io/Logging_0861/kartor/A 15307-2024 karta.png", "A 15307-2024")</f>
        <v/>
      </c>
      <c r="U30">
        <f>HYPERLINK("https://klasma.github.io/Logging_0861/knärot/A 15307-2024 karta knärot.png", "A 15307-2024")</f>
        <v/>
      </c>
      <c r="V30">
        <f>HYPERLINK("https://klasma.github.io/Logging_0861/klagomål/A 15307-2024 FSC-klagomål.docx", "A 15307-2024")</f>
        <v/>
      </c>
      <c r="W30">
        <f>HYPERLINK("https://klasma.github.io/Logging_0861/klagomålsmail/A 15307-2024 FSC-klagomål mail.docx", "A 15307-2024")</f>
        <v/>
      </c>
      <c r="X30">
        <f>HYPERLINK("https://klasma.github.io/Logging_0861/tillsyn/A 15307-2024 tillsynsbegäran.docx", "A 15307-2024")</f>
        <v/>
      </c>
      <c r="Y30">
        <f>HYPERLINK("https://klasma.github.io/Logging_0861/tillsynsmail/A 15307-2024 tillsynsbegäran mail.docx", "A 15307-2024")</f>
        <v/>
      </c>
      <c r="Z30">
        <f>HYPERLINK("https://klasma.github.io/Logging_0861/fåglar/A 15307-2024 prioriterade fågelarter.docx", "A 15307-2024")</f>
        <v/>
      </c>
    </row>
    <row r="31" ht="15" customHeight="1">
      <c r="A31" t="inlineStr">
        <is>
          <t>A 6509-2020</t>
        </is>
      </c>
      <c r="B31" s="1" t="n">
        <v>43867</v>
      </c>
      <c r="C31" s="1" t="n">
        <v>45650</v>
      </c>
      <c r="D31" t="inlineStr">
        <is>
          <t>KALMAR LÄN</t>
        </is>
      </c>
      <c r="E31" t="inlineStr">
        <is>
          <t>MÖNSTERÅS</t>
        </is>
      </c>
      <c r="G31" t="n">
        <v>5.3</v>
      </c>
      <c r="H31" t="n">
        <v>2</v>
      </c>
      <c r="I31" t="n">
        <v>1</v>
      </c>
      <c r="J31" t="n">
        <v>0</v>
      </c>
      <c r="K31" t="n">
        <v>1</v>
      </c>
      <c r="L31" t="n">
        <v>0</v>
      </c>
      <c r="M31" t="n">
        <v>0</v>
      </c>
      <c r="N31" t="n">
        <v>0</v>
      </c>
      <c r="O31" t="n">
        <v>1</v>
      </c>
      <c r="P31" t="n">
        <v>1</v>
      </c>
      <c r="Q31" t="n">
        <v>3</v>
      </c>
      <c r="R31" s="2" t="inlineStr">
        <is>
          <t>Knärot
Blåmossa
Mattlummer</t>
        </is>
      </c>
      <c r="S31">
        <f>HYPERLINK("https://klasma.github.io/Logging_0861/artfynd/A 6509-2020 artfynd.xlsx", "A 6509-2020")</f>
        <v/>
      </c>
      <c r="T31">
        <f>HYPERLINK("https://klasma.github.io/Logging_0861/kartor/A 6509-2020 karta.png", "A 6509-2020")</f>
        <v/>
      </c>
      <c r="U31">
        <f>HYPERLINK("https://klasma.github.io/Logging_0861/knärot/A 6509-2020 karta knärot.png", "A 6509-2020")</f>
        <v/>
      </c>
      <c r="V31">
        <f>HYPERLINK("https://klasma.github.io/Logging_0861/klagomål/A 6509-2020 FSC-klagomål.docx", "A 6509-2020")</f>
        <v/>
      </c>
      <c r="W31">
        <f>HYPERLINK("https://klasma.github.io/Logging_0861/klagomålsmail/A 6509-2020 FSC-klagomål mail.docx", "A 6509-2020")</f>
        <v/>
      </c>
      <c r="X31">
        <f>HYPERLINK("https://klasma.github.io/Logging_0861/tillsyn/A 6509-2020 tillsynsbegäran.docx", "A 6509-2020")</f>
        <v/>
      </c>
      <c r="Y31">
        <f>HYPERLINK("https://klasma.github.io/Logging_0861/tillsynsmail/A 6509-2020 tillsynsbegäran mail.docx", "A 6509-2020")</f>
        <v/>
      </c>
    </row>
    <row r="32" ht="15" customHeight="1">
      <c r="A32" t="inlineStr">
        <is>
          <t>A 7097-2020</t>
        </is>
      </c>
      <c r="B32" s="1" t="n">
        <v>43868</v>
      </c>
      <c r="C32" s="1" t="n">
        <v>45650</v>
      </c>
      <c r="D32" t="inlineStr">
        <is>
          <t>KALMAR LÄN</t>
        </is>
      </c>
      <c r="E32" t="inlineStr">
        <is>
          <t>MÖNSTERÅS</t>
        </is>
      </c>
      <c r="G32" t="n">
        <v>9.199999999999999</v>
      </c>
      <c r="H32" t="n">
        <v>3</v>
      </c>
      <c r="I32" t="n">
        <v>0</v>
      </c>
      <c r="J32" t="n">
        <v>0</v>
      </c>
      <c r="K32" t="n">
        <v>0</v>
      </c>
      <c r="L32" t="n">
        <v>0</v>
      </c>
      <c r="M32" t="n">
        <v>0</v>
      </c>
      <c r="N32" t="n">
        <v>0</v>
      </c>
      <c r="O32" t="n">
        <v>0</v>
      </c>
      <c r="P32" t="n">
        <v>0</v>
      </c>
      <c r="Q32" t="n">
        <v>3</v>
      </c>
      <c r="R32" s="2" t="inlineStr">
        <is>
          <t>Dvärgpipistrell
Större brunfladdermus
Vattenfladdermus</t>
        </is>
      </c>
      <c r="S32">
        <f>HYPERLINK("https://klasma.github.io/Logging_0861/artfynd/A 7097-2020 artfynd.xlsx", "A 7097-2020")</f>
        <v/>
      </c>
      <c r="T32">
        <f>HYPERLINK("https://klasma.github.io/Logging_0861/kartor/A 7097-2020 karta.png", "A 7097-2020")</f>
        <v/>
      </c>
      <c r="V32">
        <f>HYPERLINK("https://klasma.github.io/Logging_0861/klagomål/A 7097-2020 FSC-klagomål.docx", "A 7097-2020")</f>
        <v/>
      </c>
      <c r="W32">
        <f>HYPERLINK("https://klasma.github.io/Logging_0861/klagomålsmail/A 7097-2020 FSC-klagomål mail.docx", "A 7097-2020")</f>
        <v/>
      </c>
      <c r="X32">
        <f>HYPERLINK("https://klasma.github.io/Logging_0861/tillsyn/A 7097-2020 tillsynsbegäran.docx", "A 7097-2020")</f>
        <v/>
      </c>
      <c r="Y32">
        <f>HYPERLINK("https://klasma.github.io/Logging_0861/tillsynsmail/A 7097-2020 tillsynsbegäran mail.docx", "A 7097-2020")</f>
        <v/>
      </c>
    </row>
    <row r="33" ht="15" customHeight="1">
      <c r="A33" t="inlineStr">
        <is>
          <t>A 25348-2020</t>
        </is>
      </c>
      <c r="B33" s="1" t="n">
        <v>43980</v>
      </c>
      <c r="C33" s="1" t="n">
        <v>45650</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45650</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45650</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45650</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45650</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45650</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45650</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45650</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45650</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45650</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45650</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45650</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45650</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45650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45650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45650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45650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45650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45650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45650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45650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45650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45650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45650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45650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45650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45650</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45650</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45650</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45650</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45650</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45650</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45650</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45650</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45650</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45650</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45650</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45650</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45650</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45650</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45650</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45650</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45650</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45650</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45650</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45650</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45650</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45650</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45650</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45650</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45650</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45650</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45650</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45650</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45650</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45650</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45650</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45650</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45650</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45650</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45650</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45650</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45650</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45650</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45650</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45650</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45650</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45650</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45650</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45650</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45650</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45650</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45650</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45650</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45650</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45650</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45650</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45650</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45650</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45650</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45650</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45650</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45650</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45650</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45650</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45650</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45650</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45650</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45650</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45650</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45650</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45650</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45650</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45650</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45650</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45650</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45650</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45650</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45650</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45650</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45650</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45650</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45650</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45650</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45650</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45650</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45650</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45650</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45650</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45650</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45650</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45650</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45650</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45650</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45650</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45650</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45650</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45650</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45650</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45650</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45650</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45650</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45650</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45650</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45650</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45650</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45650</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45650</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45650</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45650</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45650</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45650</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45650</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45650</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45650</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45650</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45650</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45650</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45650</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45650</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45650</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45650</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45650</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45650</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45650</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45650</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45650</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45650</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45650</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45650</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45650</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45650</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45650</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45650</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45650</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45650</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45650</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45650</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45650</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45650</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45650</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45650</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45650</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45650</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45650</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45650</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45650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45650</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45650</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45650</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45650</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45650</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45650</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45650</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45650</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45650</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45650</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45650</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45650</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45650</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45650</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45650</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45650</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45650</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45650</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45650</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45650</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45650</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45650</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45650</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45650</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45650</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45650</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45650</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45650</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45650</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45650</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45650</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45650</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45650</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45650</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45650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45650</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45650</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45650</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45650</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45650</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45650</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45650</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45650</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45650</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45650</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45650</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45650</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45650</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45650</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45650</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45650</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45650</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45650</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45650</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45650</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45650</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45650</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45650</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45650</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45650</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45650</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45650</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45650</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45650</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45650</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45650</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45650</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45650</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45650</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45650</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45650</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45650</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45650</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45650</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45650</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45650</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45650</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45650</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45650</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45650</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45650</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45650</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45650</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45650</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45650</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45650</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45650</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45650</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45650</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45650</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45650</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45650</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45650</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45650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45650</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45650</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45650</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45650</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45650</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45650</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45650</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45650</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45650</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45650</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45650</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45650</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45650</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45650</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45650</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45650</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45650</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45650</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45650</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45650</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45650</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45650</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45650</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45650</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45650</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45650</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45650</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45650</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45650</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45650</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45650</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45650</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45650</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45650</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45650</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45650</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45650</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45650</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45650</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45650</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45650</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45650</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45650</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45650</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45650</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45650</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45650</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45650</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45650</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45650</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45650</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45650</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45650</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45650</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45650</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45650</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45650</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45650</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45650</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45650</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45650</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45650</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45650</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45650</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45650</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45650</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45650</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45650</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45650</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45650</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45650</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45650</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45650</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45650</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45650</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45650</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45650</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45650</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45650</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45650</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45650</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45650</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45650</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45650</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45650</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45650</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45650</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45650</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45650</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45650</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45650</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45650</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45650</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45650</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45650</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45650</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45650</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45650</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45650</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45650</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45650</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45650</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45650</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45650</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45650</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45650</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45650</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45650</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45650</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45650</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45650</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45650</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45650</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45650</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45650</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45650</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45650</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45650</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45650</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45650</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45650</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45650</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45650</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45650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45650</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45650</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45650</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45650</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45650</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45650</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45650</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45650</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45650</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45650</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45650</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45650</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45650</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45650</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45650</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45650</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45650</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45650</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45650</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45650</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45650</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45650</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45650</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45650</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45650</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45650</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45650</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45650</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45650</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45650</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45650</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45650</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45650</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45650</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45650</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45650</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45650</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45650</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45650</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45650</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45650</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45650</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45650</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45650</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45650</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45650</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45650</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45650</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45650</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45650</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45650</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45650</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45650</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45650</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45650</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45650</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45650</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45650</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45650</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45650</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45650</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45650</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45650</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45650</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45650</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45650</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45650</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45650</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45650</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45650</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45650</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45650</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45650</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45650</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45650</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45650</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45650</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45650</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45650</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45650</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45650</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45650</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45650</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45650</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45650</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45650</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45650</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45650</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45650</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45650</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45650</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45650</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45650</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45650</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45650</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45650</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45650</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45650</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45650</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45650</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45650</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45650</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45650</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45650</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45650</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45650</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45650</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45650</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45650</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45650</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45650</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45650</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45650</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45650</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45650</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45650</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45650</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45650</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45650</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45650</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45650</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45650</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45650</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45650</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45650</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45650</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45650</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45650</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45650</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45650</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45650</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45650</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45650</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45650</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45650</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45650</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45650</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45650</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45650</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45650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45650</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45650</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45650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45650</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45650</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45650</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45650</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45650</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45650</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45650</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45650</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45650</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45650</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45650</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45650</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45650</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45650</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45650</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45650</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45650</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45650</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45650</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45650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45650</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45650</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45650</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45650</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45650</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45650</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45650</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45650</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45650</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45650</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45650</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45650</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45650</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45650</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45650</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45650</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45650</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45650</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45650</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45650</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45650</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45650</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45650</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45650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45650</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45650</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45650</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45650</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45650</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45650</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45650</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45650</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45650</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45650</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45650</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45650</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45650</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45650</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45650</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45650</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45650</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45650</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45650</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45650</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45650</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45650</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45650</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45650</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45650</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45650</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45650</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45650</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45650</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45650</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45650</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45650</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45650</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45650</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45650</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45650</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45650</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45650</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45650</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45650</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45650</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45650</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45650</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45650</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45650</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45650</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45650</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45650</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45650</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45650</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45650</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45650</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45650</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45650</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45650</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45650</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45650</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45650</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45650</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45650</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45650</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45650</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45650</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45650</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45650</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45650</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45650</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45650</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45650</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45650</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45650</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45650</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45650</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45650</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45650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45650</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45650</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45650</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45650</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45650</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45650</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45650</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45650</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45650</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45650</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45650</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45650</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45650</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45650</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45650</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45650</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45650</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45650</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45650</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45650</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45650</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45650</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45650</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45650</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45650</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45650</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45650</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45650</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45650</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45650</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45650</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45650</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45650</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45650</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45650</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45650</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45650</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45650</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45650</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45650</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45650</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45650</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45650</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45650</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45650</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45650</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45650</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45650</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45650</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45650</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45650</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45650</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45650</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45650</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45650</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45650</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45650</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45650</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45650</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45650</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45650</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45650</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45650</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45650</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45650</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45650</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45650</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45650</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45650</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45650</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45650</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45650</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45650</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45650</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45650</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45650</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45650</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45650</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45650</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45650</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45650</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45650</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45650</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45650</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45650</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45650</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45650</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45650</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45650</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45650</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45650</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45650</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45650</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45650</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45650</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45650</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45650</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45650</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45650</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45650</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45650</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56839-2024</t>
        </is>
      </c>
      <c r="B781" s="1" t="n">
        <v>45628</v>
      </c>
      <c r="C781" s="1" t="n">
        <v>45650</v>
      </c>
      <c r="D781" t="inlineStr">
        <is>
          <t>KALMAR LÄN</t>
        </is>
      </c>
      <c r="E781" t="inlineStr">
        <is>
          <t>MÖNSTERÅS</t>
        </is>
      </c>
      <c r="G781" t="n">
        <v>5.8</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45650</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45650</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45650</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59264-2024</t>
        </is>
      </c>
      <c r="B785" s="1" t="n">
        <v>45637</v>
      </c>
      <c r="C785" s="1" t="n">
        <v>45650</v>
      </c>
      <c r="D785" t="inlineStr">
        <is>
          <t>KALMAR LÄN</t>
        </is>
      </c>
      <c r="E785" t="inlineStr">
        <is>
          <t>MÖNSTERÅS</t>
        </is>
      </c>
      <c r="G785" t="n">
        <v>3.4</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45650</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45650</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59542-2024</t>
        </is>
      </c>
      <c r="B788" s="1" t="n">
        <v>45638</v>
      </c>
      <c r="C788" s="1" t="n">
        <v>45650</v>
      </c>
      <c r="D788" t="inlineStr">
        <is>
          <t>KALMAR LÄN</t>
        </is>
      </c>
      <c r="E788" t="inlineStr">
        <is>
          <t>MÖNSTERÅS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45650</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45650</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45650</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45650</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45650</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45650</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45650</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45650</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45650</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45650</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45650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2024-12-24T15:40:21Z</dcterms:created>
  <dcterms:modified xmlns:dcterms="http://purl.org/dc/terms/" xmlns:xsi="http://www.w3.org/2001/XMLSchema-instance" xsi:type="dcterms:W3CDTF">2024-12-24T15:40:22Z</dcterms:modified>
</cp:coreProperties>
</file>
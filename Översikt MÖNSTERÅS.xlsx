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45827</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45827</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45827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45827</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45827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45827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45827</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45827</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45827</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45827</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45827</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45827</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45827</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45827</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45827</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45827</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45827</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45827</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45827</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45827</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45827</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45827</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45827</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45827</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34721-2024</t>
        </is>
      </c>
      <c r="B26" s="1" t="n">
        <v>45526</v>
      </c>
      <c r="C26" s="1" t="n">
        <v>45827</v>
      </c>
      <c r="D26" t="inlineStr">
        <is>
          <t>KALMAR LÄN</t>
        </is>
      </c>
      <c r="E26" t="inlineStr">
        <is>
          <t>MÖNSTERÅS</t>
        </is>
      </c>
      <c r="F26" t="inlineStr">
        <is>
          <t>Kommuner</t>
        </is>
      </c>
      <c r="G26" t="n">
        <v>9.5</v>
      </c>
      <c r="H26" t="n">
        <v>1</v>
      </c>
      <c r="I26" t="n">
        <v>0</v>
      </c>
      <c r="J26" t="n">
        <v>3</v>
      </c>
      <c r="K26" t="n">
        <v>2</v>
      </c>
      <c r="L26" t="n">
        <v>0</v>
      </c>
      <c r="M26" t="n">
        <v>0</v>
      </c>
      <c r="N26" t="n">
        <v>0</v>
      </c>
      <c r="O26" t="n">
        <v>5</v>
      </c>
      <c r="P26" t="n">
        <v>2</v>
      </c>
      <c r="Q26" t="n">
        <v>5</v>
      </c>
      <c r="R26" s="2" t="inlineStr">
        <is>
          <t>Mörk spegelbock
Orangefläckig brunbagge
Ekgetingbock
Ekträdlöpare
Spillkråka</t>
        </is>
      </c>
      <c r="S26">
        <f>HYPERLINK("https://klasma.github.io/Logging_0861/artfynd/A 34721-2024 artfynd.xlsx", "A 34721-2024")</f>
        <v/>
      </c>
      <c r="T26">
        <f>HYPERLINK("https://klasma.github.io/Logging_0861/kartor/A 34721-2024 karta.png", "A 34721-2024")</f>
        <v/>
      </c>
      <c r="V26">
        <f>HYPERLINK("https://klasma.github.io/Logging_0861/klagomål/A 34721-2024 FSC-klagomål.docx", "A 34721-2024")</f>
        <v/>
      </c>
      <c r="W26">
        <f>HYPERLINK("https://klasma.github.io/Logging_0861/klagomålsmail/A 34721-2024 FSC-klagomål mail.docx", "A 34721-2024")</f>
        <v/>
      </c>
      <c r="X26">
        <f>HYPERLINK("https://klasma.github.io/Logging_0861/tillsyn/A 34721-2024 tillsynsbegäran.docx", "A 34721-2024")</f>
        <v/>
      </c>
      <c r="Y26">
        <f>HYPERLINK("https://klasma.github.io/Logging_0861/tillsynsmail/A 34721-2024 tillsynsbegäran mail.docx", "A 34721-2024")</f>
        <v/>
      </c>
      <c r="Z26">
        <f>HYPERLINK("https://klasma.github.io/Logging_0861/fåglar/A 34721-2024 prioriterade fågelarter.docx", "A 34721-2024")</f>
        <v/>
      </c>
    </row>
    <row r="27" ht="15" customHeight="1">
      <c r="A27" t="inlineStr">
        <is>
          <t>A 37143-2024</t>
        </is>
      </c>
      <c r="B27" s="1" t="n">
        <v>45539</v>
      </c>
      <c r="C27" s="1" t="n">
        <v>45827</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45827</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45827</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45827</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45827</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45827</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45827</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45827</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45827</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45827</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45827</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45827</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45827</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45827</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45827</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45827</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45827</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45827</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45827</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45827</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45827</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45827</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45827</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45827</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45827</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45827</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45827</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45827</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45827</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45827</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45827</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45827</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45827</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45827</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45827</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45827</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45827</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45827</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45827</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45827</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45827</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45827</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45827</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45827</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45827</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45827</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45827</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45827</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45827</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45827</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45827</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45827</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45827</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45827</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45827</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45827</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45827</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45827</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45827</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45827</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45827</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45827</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45827</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45827</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45827</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45827</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45827</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45827</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45827</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45827</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45827</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45827</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45827</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45827</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45827</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45827</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45827</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45827</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45827</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45827</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45827</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45827</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45827</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45827</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45827</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45827</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45827</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45827</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45827</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45827</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45827</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45827</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45827</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45827</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45827</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45827</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45827</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45827</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45827</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45827</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45827</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45827</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45827</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45827</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45827</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45827</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45827</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45827</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45827</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45827</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45827</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45827</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45827</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45827</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45827</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45827</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45827</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45827</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45827</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45827</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45827</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45827</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45827</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45827</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45827</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45827</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45827</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45827</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45827</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45827</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45827</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45827</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45827</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45827</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45827</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45827</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45827</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45827</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45827</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45827</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45827</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45827</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45827</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45827</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45827</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45827</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45827</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45827</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45827</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45827</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45827</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45827</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45827</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45827</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45827</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45827</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45827</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45827</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45827</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45827</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45827</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45827</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45827</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45827</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45827</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45827</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45827</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45827</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45827</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45827</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45827</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45827</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45827</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45827</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45827</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45827</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45827</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45827</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45827</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45827</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45827</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45827</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45827</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45827</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45827</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45827</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45827</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45827</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45827</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45827</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45827</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45827</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45827</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45827</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45827</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45827</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45827</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45827</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45827</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45827</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45827</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45827</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45827</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45827</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45827</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45827</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45827</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45827</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45827</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45827</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45827</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45827</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45827</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45827</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45827</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45827</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45827</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45827</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45827</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45827</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45827</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45827</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45827</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45827</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45827</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45827</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45827</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45827</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45827</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45827</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45827</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45827</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45827</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45827</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45827</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45827</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45827</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45827</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45827</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45827</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45827</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45827</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45827</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45827</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45827</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45827</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45827</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45827</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45827</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45827</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45827</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45827</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45827</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45827</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45827</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45827</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45827</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45827</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45827</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45827</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45827</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45827</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45827</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45827</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45827</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45827</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45827</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45827</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45827</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45827</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45827</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45827</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45827</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45827</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45827</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45827</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45827</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45827</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45827</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45827</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45827</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45827</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45827</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45827</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45827</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45827</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45827</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45827</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45827</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45827</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45827</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45827</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45827</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45827</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45827</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45827</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45827</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45827</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45827</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45827</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45827</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45827</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45827</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45827</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45827</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45827</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45827</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45827</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45827</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45827</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45827</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45827</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45827</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45827</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45827</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45827</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45827</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45827</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45827</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45827</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45827</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45827</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45827</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45827</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45827</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45827</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45827</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45827</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45827</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45827</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45827</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45827</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45827</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45827</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45827</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45827</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45827</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45827</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45827</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45827</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45827</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45827</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45827</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45827</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45827</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45827</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45827</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45827</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45827</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45827</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45827</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45827</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45827</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45827</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45827</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45827</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45827</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45827</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45827</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45827</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45827</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45827</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45827</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45827</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45827</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45827</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45827</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45827</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45827</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45827</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45827</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45827</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45827</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45827</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45827</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45827</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45827</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45827</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45827</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45827</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45827</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45827</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45827</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45827</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45827</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45827</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45827</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45827</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45827</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45827</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45827</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45827</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45827</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45827</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45827</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45827</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45827</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45827</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45827</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45827</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45827</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45827</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45827</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45827</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45827</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45827</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45827</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45827</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45827</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45827</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45827</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45827</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45827</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45827</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45827</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45827</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45827</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45827</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45827</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45827</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45827</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45827</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45827</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45827</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45827</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45827</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45827</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45827</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45827</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45827</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45827</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45827</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45827</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45827</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45827</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45827</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45827</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45827</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45827</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45827</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45827</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45827</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45827</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45827</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45827</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45827</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45827</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45827</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45827</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45827</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45827</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45827</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45827</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45827</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45827</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45827</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45827</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45827</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45827</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45827</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45827</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45827</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45827</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45827</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45827</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45827</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45827</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45827</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45827</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45827</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45827</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45827</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45827</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45827</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45827</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45827</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45827</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45827</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45827</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45827</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45827</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45827</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45827</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45827</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45827</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45827</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45827</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45827</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45827</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45827</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45827</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45827</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45827</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45827</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45827</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45827</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45827</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45827</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45827</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45827</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45827</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45827</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45827</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45827</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45827</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45827</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45827</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45827</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45827</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45827</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45827</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45827</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45827</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45827</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45827</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45827</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45827</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45827</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45827</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45827</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45827</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45827</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45827</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45827</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45827</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45827</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45827</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45827</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45827</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45827</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45827</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45827</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45827</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45827</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45827</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45827</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45827</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45827</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45827</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45827</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45827</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45827</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45827</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45827</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45827</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45827</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45827</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45827</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45827</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45827</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45827</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45827</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45827</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45827</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45827</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45827</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45827</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45827</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45827</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45827</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45827</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45827</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45827</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45827</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45827</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45827</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45827</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45827</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45827</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45827</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45827</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45827</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45827</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45827</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45827</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45827</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45827</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45827</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45827</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45827</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45827</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45827</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45827</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45827</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45827</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45827</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45827</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45827</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45827</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45827</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45827</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45827</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45827</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45827</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45827</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45827</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45827</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45827</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45827</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45827</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45827</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45827</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45827</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45827</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45827</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45827</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45827</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45827</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45827</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45827</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45827</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45827</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45827</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45827</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45827</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45827</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45827</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45827</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45827</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45827</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45827</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45827</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45827</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45827</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45827</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45827</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45827</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45827</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45827</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45827</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45827</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45827</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45827</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45827</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45827</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45827</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45827</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45827</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45827</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45827</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45827</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45827</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45827</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45827</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45827</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45827</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45827</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45827</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45827</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45827</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45827</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45827</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45827</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45827</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45827</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45827</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45827</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45827</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45827</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45827</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45827</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45827</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45827</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45827</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45827</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45827</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45827</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45827</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45827</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45827</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45827</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45827</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45827</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45827</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45827</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45827</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45827</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45827</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45827</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45827</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45827</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45827</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45827</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45827</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45827</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45827</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45827</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45827</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45827</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45827</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45827</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45827</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45827</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45827</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45827</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45827</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45827</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45827</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45827</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45827</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45827</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45827</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45827</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45827</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45827</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45827</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45827</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45827</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45827</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45827</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45827</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45827</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45827</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45827</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45827</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45827</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45827</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45827</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45827</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45827</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45827</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45827</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45827</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45827</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45827</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45827</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45827</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45827</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45827</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45827</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45827</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45827</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45827</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45827</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45827</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45827</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45827</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45827</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45827</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45827</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45827</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45827</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45827</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45827</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45827</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45827</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45827</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45827</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45827</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45827</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45827</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45827</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45827</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45827</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45827</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45827</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45827</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45827</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45827</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45827</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45827</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45827</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45827</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45827</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45827</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45827</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45827</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45827</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45827</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45827</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45827</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45827</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45827</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45827</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45827</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45827</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45827</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45827</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45827</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45827</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45827</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45827</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45827</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45827</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45827</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45827</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45827</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45827</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45827</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45827</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45827</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45827</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45827</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45827</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45827</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45827</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45827</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45827</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45827</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45827</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45827</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45827</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45827</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45827</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45827</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45827</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45827</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45827</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45827</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45827</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45827</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45827</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45827</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45827</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45827</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45827</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45827</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45827</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45827</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45827</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45827</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45827</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45827</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45827</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45827</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45827</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45827</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45827</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45827</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45827</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45827</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45827</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45827</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45827</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45827</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45827</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26145-2025</t>
        </is>
      </c>
      <c r="B863" s="1" t="n">
        <v>45805</v>
      </c>
      <c r="C863" s="1" t="n">
        <v>45827</v>
      </c>
      <c r="D863" t="inlineStr">
        <is>
          <t>KALMAR LÄN</t>
        </is>
      </c>
      <c r="E863" t="inlineStr">
        <is>
          <t>MÖNSTERÅS</t>
        </is>
      </c>
      <c r="G863" t="n">
        <v>1.4</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45827</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26157-2025</t>
        </is>
      </c>
      <c r="B865" s="1" t="n">
        <v>45805</v>
      </c>
      <c r="C865" s="1" t="n">
        <v>45827</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row r="866" ht="15" customHeight="1">
      <c r="A866" t="inlineStr">
        <is>
          <t>A 26171-2025</t>
        </is>
      </c>
      <c r="B866" s="1" t="n">
        <v>45805</v>
      </c>
      <c r="C866" s="1" t="n">
        <v>45827</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45827</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28700-2025</t>
        </is>
      </c>
      <c r="B868" s="1" t="n">
        <v>45820</v>
      </c>
      <c r="C868" s="1" t="n">
        <v>45827</v>
      </c>
      <c r="D868" t="inlineStr">
        <is>
          <t>KALMAR LÄN</t>
        </is>
      </c>
      <c r="E868" t="inlineStr">
        <is>
          <t>MÖNSTERÅS</t>
        </is>
      </c>
      <c r="G868" t="n">
        <v>2.7</v>
      </c>
      <c r="H868" t="n">
        <v>0</v>
      </c>
      <c r="I868" t="n">
        <v>0</v>
      </c>
      <c r="J868" t="n">
        <v>0</v>
      </c>
      <c r="K868" t="n">
        <v>0</v>
      </c>
      <c r="L868" t="n">
        <v>0</v>
      </c>
      <c r="M868" t="n">
        <v>0</v>
      </c>
      <c r="N868" t="n">
        <v>0</v>
      </c>
      <c r="O868" t="n">
        <v>0</v>
      </c>
      <c r="P868" t="n">
        <v>0</v>
      </c>
      <c r="Q868" t="n">
        <v>0</v>
      </c>
      <c r="R868" s="2" t="inlineStr"/>
    </row>
    <row r="869">
      <c r="A869" t="inlineStr">
        <is>
          <t>A 28699-2025</t>
        </is>
      </c>
      <c r="B869" s="1" t="n">
        <v>45820</v>
      </c>
      <c r="C869" s="1" t="n">
        <v>45827</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2025-06-19T19:13:11Z</dcterms:created>
  <dcterms:modified xmlns:dcterms="http://purl.org/dc/terms/" xmlns:xsi="http://www.w3.org/2001/XMLSchema-instance" xsi:type="dcterms:W3CDTF">2025-06-19T19:13:12Z</dcterms:modified>
</cp:coreProperties>
</file>